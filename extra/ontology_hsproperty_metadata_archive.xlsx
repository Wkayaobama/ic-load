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ic-load-main\extra\"/>
    </mc:Choice>
  </mc:AlternateContent>
  <xr:revisionPtr revIDLastSave="0" documentId="8_{FFF4A0AA-8CED-49CD-A298-A6368BDBE07C}" xr6:coauthVersionLast="47" xr6:coauthVersionMax="47" xr10:uidLastSave="{00000000-0000-0000-0000-000000000000}"/>
  <bookViews>
    <workbookView xWindow="14460" yWindow="-16320" windowWidth="29040" windowHeight="15720" xr2:uid="{B3536E21-D10E-48C2-BDCE-584B37138684}"/>
  </bookViews>
  <sheets>
    <sheet name="HubSpot_property_check" sheetId="1" r:id="rId1"/>
  </sheets>
  <externalReferences>
    <externalReference r:id="rId2"/>
  </externalReferences>
  <definedNames>
    <definedName name="ExternalData_1" localSheetId="0" hidden="1">HubSpot_property_check!$A$1:$I$54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4" i="1" l="1" a="1"/>
  <c r="M54" i="1" s="1"/>
  <c r="L54" i="1" a="1"/>
  <c r="L54" i="1" s="1"/>
  <c r="J54" i="1"/>
  <c r="K54" i="1" s="1" a="1"/>
  <c r="K54" i="1" s="1"/>
  <c r="M53" i="1" a="1"/>
  <c r="M53" i="1" s="1"/>
  <c r="L53" i="1" a="1"/>
  <c r="L53" i="1" s="1"/>
  <c r="J53" i="1"/>
  <c r="K53" i="1" s="1" a="1"/>
  <c r="K53" i="1" s="1"/>
  <c r="M52" i="1" a="1"/>
  <c r="M52" i="1" s="1"/>
  <c r="L52" i="1" a="1"/>
  <c r="L52" i="1" s="1"/>
  <c r="J52" i="1"/>
  <c r="K52" i="1" s="1" a="1"/>
  <c r="K52" i="1" s="1"/>
  <c r="M51" i="1" a="1"/>
  <c r="M51" i="1" s="1"/>
  <c r="L51" i="1" a="1"/>
  <c r="L51" i="1" s="1"/>
  <c r="J51" i="1"/>
  <c r="K51" i="1" s="1" a="1"/>
  <c r="K51" i="1" s="1"/>
  <c r="M50" i="1" a="1"/>
  <c r="M50" i="1" s="1"/>
  <c r="L50" i="1" a="1"/>
  <c r="L50" i="1" s="1"/>
  <c r="J50" i="1"/>
  <c r="K50" i="1" s="1" a="1"/>
  <c r="K50" i="1" s="1"/>
  <c r="M49" i="1" a="1"/>
  <c r="M49" i="1" s="1"/>
  <c r="L49" i="1" a="1"/>
  <c r="L49" i="1" s="1"/>
  <c r="J49" i="1"/>
  <c r="K49" i="1" s="1" a="1"/>
  <c r="K49" i="1" s="1"/>
  <c r="M48" i="1" a="1"/>
  <c r="M48" i="1" s="1"/>
  <c r="L48" i="1" a="1"/>
  <c r="L48" i="1" s="1"/>
  <c r="J48" i="1"/>
  <c r="K48" i="1" s="1" a="1"/>
  <c r="K48" i="1" s="1"/>
  <c r="M47" i="1" a="1"/>
  <c r="M47" i="1" s="1"/>
  <c r="L47" i="1" a="1"/>
  <c r="L47" i="1" s="1"/>
  <c r="J47" i="1"/>
  <c r="K47" i="1" s="1" a="1"/>
  <c r="K47" i="1" s="1"/>
  <c r="M46" i="1" a="1"/>
  <c r="M46" i="1" s="1"/>
  <c r="L46" i="1" a="1"/>
  <c r="L46" i="1" s="1"/>
  <c r="J46" i="1"/>
  <c r="K46" i="1" s="1" a="1"/>
  <c r="K46" i="1" s="1"/>
  <c r="M45" i="1" a="1"/>
  <c r="M45" i="1" s="1"/>
  <c r="L45" i="1" a="1"/>
  <c r="L45" i="1" s="1"/>
  <c r="J45" i="1"/>
  <c r="K45" i="1" s="1" a="1"/>
  <c r="K45" i="1" s="1"/>
  <c r="M44" i="1" a="1"/>
  <c r="M44" i="1" s="1"/>
  <c r="L44" i="1" a="1"/>
  <c r="L44" i="1" s="1"/>
  <c r="J44" i="1"/>
  <c r="K44" i="1" s="1" a="1"/>
  <c r="K44" i="1" s="1"/>
  <c r="M43" i="1" a="1"/>
  <c r="M43" i="1" s="1"/>
  <c r="L43" i="1" a="1"/>
  <c r="L43" i="1" s="1"/>
  <c r="J43" i="1"/>
  <c r="K43" i="1" s="1" a="1"/>
  <c r="K43" i="1" s="1"/>
  <c r="M42" i="1" a="1"/>
  <c r="M42" i="1" s="1"/>
  <c r="L42" i="1" a="1"/>
  <c r="L42" i="1" s="1"/>
  <c r="J42" i="1"/>
  <c r="K42" i="1" s="1" a="1"/>
  <c r="K42" i="1" s="1"/>
  <c r="M41" i="1" a="1"/>
  <c r="M41" i="1" s="1"/>
  <c r="L41" i="1" a="1"/>
  <c r="L41" i="1" s="1"/>
  <c r="J41" i="1"/>
  <c r="K41" i="1" s="1" a="1"/>
  <c r="K41" i="1" s="1"/>
  <c r="M40" i="1" a="1"/>
  <c r="M40" i="1" s="1"/>
  <c r="L40" i="1" a="1"/>
  <c r="L40" i="1" s="1"/>
  <c r="J40" i="1"/>
  <c r="K40" i="1" s="1" a="1"/>
  <c r="K40" i="1" s="1"/>
  <c r="M39" i="1" a="1"/>
  <c r="M39" i="1" s="1"/>
  <c r="L39" i="1" a="1"/>
  <c r="L39" i="1" s="1"/>
  <c r="J39" i="1"/>
  <c r="K39" i="1" s="1" a="1"/>
  <c r="K39" i="1" s="1"/>
  <c r="M38" i="1" a="1"/>
  <c r="M38" i="1" s="1"/>
  <c r="L38" i="1" a="1"/>
  <c r="L38" i="1" s="1"/>
  <c r="J38" i="1"/>
  <c r="K38" i="1" s="1" a="1"/>
  <c r="K38" i="1" s="1"/>
  <c r="M37" i="1" a="1"/>
  <c r="M37" i="1" s="1"/>
  <c r="L37" i="1" a="1"/>
  <c r="L37" i="1" s="1"/>
  <c r="J37" i="1"/>
  <c r="K37" i="1" s="1" a="1"/>
  <c r="K37" i="1" s="1"/>
  <c r="M36" i="1" a="1"/>
  <c r="M36" i="1" s="1"/>
  <c r="L36" i="1" a="1"/>
  <c r="L36" i="1" s="1"/>
  <c r="J36" i="1"/>
  <c r="K36" i="1" s="1" a="1"/>
  <c r="K36" i="1" s="1"/>
  <c r="M35" i="1" a="1"/>
  <c r="M35" i="1" s="1"/>
  <c r="L35" i="1" a="1"/>
  <c r="L35" i="1" s="1"/>
  <c r="J35" i="1"/>
  <c r="K35" i="1" s="1" a="1"/>
  <c r="K35" i="1" s="1"/>
  <c r="M34" i="1" a="1"/>
  <c r="M34" i="1" s="1"/>
  <c r="L34" i="1" a="1"/>
  <c r="L34" i="1" s="1"/>
  <c r="J34" i="1"/>
  <c r="K34" i="1" s="1" a="1"/>
  <c r="K34" i="1" s="1"/>
  <c r="M33" i="1" a="1"/>
  <c r="M33" i="1" s="1"/>
  <c r="L33" i="1" a="1"/>
  <c r="L33" i="1" s="1"/>
  <c r="J33" i="1"/>
  <c r="K33" i="1" s="1" a="1"/>
  <c r="K33" i="1" s="1"/>
  <c r="M32" i="1" a="1"/>
  <c r="M32" i="1" s="1"/>
  <c r="L32" i="1" a="1"/>
  <c r="L32" i="1" s="1"/>
  <c r="J32" i="1"/>
  <c r="K32" i="1" s="1" a="1"/>
  <c r="K32" i="1" s="1"/>
  <c r="M31" i="1" a="1"/>
  <c r="M31" i="1" s="1"/>
  <c r="L31" i="1" a="1"/>
  <c r="L31" i="1" s="1"/>
  <c r="J31" i="1"/>
  <c r="K31" i="1" s="1" a="1"/>
  <c r="K31" i="1" s="1"/>
  <c r="M30" i="1" a="1"/>
  <c r="M30" i="1" s="1"/>
  <c r="L30" i="1" a="1"/>
  <c r="L30" i="1" s="1"/>
  <c r="J30" i="1"/>
  <c r="K30" i="1" s="1" a="1"/>
  <c r="K30" i="1" s="1"/>
  <c r="M29" i="1" a="1"/>
  <c r="M29" i="1" s="1"/>
  <c r="L29" i="1" a="1"/>
  <c r="L29" i="1" s="1"/>
  <c r="J29" i="1"/>
  <c r="K29" i="1" s="1" a="1"/>
  <c r="K29" i="1" s="1"/>
  <c r="M28" i="1" a="1"/>
  <c r="M28" i="1" s="1"/>
  <c r="L28" i="1" a="1"/>
  <c r="L28" i="1" s="1"/>
  <c r="J28" i="1"/>
  <c r="K28" i="1" s="1" a="1"/>
  <c r="K28" i="1" s="1"/>
  <c r="M27" i="1" a="1"/>
  <c r="M27" i="1" s="1"/>
  <c r="L27" i="1" a="1"/>
  <c r="L27" i="1" s="1"/>
  <c r="J27" i="1"/>
  <c r="K27" i="1" s="1" a="1"/>
  <c r="K27" i="1" s="1"/>
  <c r="M26" i="1" a="1"/>
  <c r="M26" i="1" s="1"/>
  <c r="L26" i="1" a="1"/>
  <c r="L26" i="1" s="1"/>
  <c r="J26" i="1"/>
  <c r="K26" i="1" s="1" a="1"/>
  <c r="K26" i="1" s="1"/>
  <c r="M25" i="1" a="1"/>
  <c r="M25" i="1" s="1"/>
  <c r="L25" i="1" a="1"/>
  <c r="L25" i="1" s="1"/>
  <c r="J25" i="1"/>
  <c r="K25" i="1" s="1" a="1"/>
  <c r="K25" i="1" s="1"/>
  <c r="M24" i="1" a="1"/>
  <c r="M24" i="1" s="1"/>
  <c r="L24" i="1" a="1"/>
  <c r="L24" i="1" s="1"/>
  <c r="J24" i="1"/>
  <c r="K24" i="1" s="1" a="1"/>
  <c r="K24" i="1" s="1"/>
  <c r="M23" i="1" a="1"/>
  <c r="M23" i="1" s="1"/>
  <c r="L23" i="1" a="1"/>
  <c r="L23" i="1" s="1"/>
  <c r="J23" i="1"/>
  <c r="K23" i="1" s="1" a="1"/>
  <c r="K23" i="1" s="1"/>
  <c r="M22" i="1" a="1"/>
  <c r="M22" i="1" s="1"/>
  <c r="L22" i="1" a="1"/>
  <c r="L22" i="1" s="1"/>
  <c r="J22" i="1"/>
  <c r="K22" i="1" s="1" a="1"/>
  <c r="K22" i="1" s="1"/>
  <c r="M21" i="1" a="1"/>
  <c r="M21" i="1" s="1"/>
  <c r="L21" i="1" a="1"/>
  <c r="L21" i="1" s="1"/>
  <c r="J21" i="1"/>
  <c r="K21" i="1" s="1" a="1"/>
  <c r="K21" i="1" s="1"/>
  <c r="M20" i="1" a="1"/>
  <c r="M20" i="1" s="1"/>
  <c r="L20" i="1" a="1"/>
  <c r="L20" i="1" s="1"/>
  <c r="J20" i="1"/>
  <c r="K20" i="1" s="1" a="1"/>
  <c r="K20" i="1" s="1"/>
  <c r="M19" i="1" a="1"/>
  <c r="M19" i="1" s="1"/>
  <c r="L19" i="1" a="1"/>
  <c r="L19" i="1" s="1"/>
  <c r="J19" i="1"/>
  <c r="K19" i="1" s="1" a="1"/>
  <c r="K19" i="1" s="1"/>
  <c r="M18" i="1" a="1"/>
  <c r="M18" i="1" s="1"/>
  <c r="L18" i="1" a="1"/>
  <c r="L18" i="1" s="1"/>
  <c r="J18" i="1"/>
  <c r="K18" i="1" s="1" a="1"/>
  <c r="K18" i="1" s="1"/>
  <c r="M17" i="1" a="1"/>
  <c r="M17" i="1" s="1"/>
  <c r="L17" i="1" a="1"/>
  <c r="L17" i="1" s="1"/>
  <c r="J17" i="1"/>
  <c r="K17" i="1" s="1" a="1"/>
  <c r="K17" i="1" s="1"/>
  <c r="M16" i="1" a="1"/>
  <c r="M16" i="1" s="1"/>
  <c r="L16" i="1" a="1"/>
  <c r="L16" i="1" s="1"/>
  <c r="J16" i="1"/>
  <c r="K16" i="1" s="1" a="1"/>
  <c r="K16" i="1" s="1"/>
  <c r="M15" i="1" a="1"/>
  <c r="M15" i="1" s="1"/>
  <c r="L15" i="1" a="1"/>
  <c r="L15" i="1" s="1"/>
  <c r="J15" i="1"/>
  <c r="K15" i="1" s="1" a="1"/>
  <c r="K15" i="1" s="1"/>
  <c r="M14" i="1" a="1"/>
  <c r="M14" i="1" s="1"/>
  <c r="L14" i="1" a="1"/>
  <c r="L14" i="1" s="1"/>
  <c r="J14" i="1"/>
  <c r="K14" i="1" s="1" a="1"/>
  <c r="K14" i="1" s="1"/>
  <c r="M13" i="1" a="1"/>
  <c r="M13" i="1" s="1"/>
  <c r="L13" i="1" a="1"/>
  <c r="L13" i="1" s="1"/>
  <c r="J13" i="1"/>
  <c r="K13" i="1" s="1" a="1"/>
  <c r="K13" i="1" s="1"/>
  <c r="M12" i="1" a="1"/>
  <c r="M12" i="1" s="1"/>
  <c r="L12" i="1" a="1"/>
  <c r="L12" i="1" s="1"/>
  <c r="J12" i="1"/>
  <c r="K12" i="1" s="1" a="1"/>
  <c r="K12" i="1" s="1"/>
  <c r="M11" i="1" a="1"/>
  <c r="M11" i="1" s="1"/>
  <c r="L11" i="1" a="1"/>
  <c r="L11" i="1" s="1"/>
  <c r="J11" i="1"/>
  <c r="K11" i="1" s="1" a="1"/>
  <c r="K11" i="1" s="1"/>
  <c r="M10" i="1" a="1"/>
  <c r="M10" i="1" s="1"/>
  <c r="L10" i="1" a="1"/>
  <c r="L10" i="1" s="1"/>
  <c r="J10" i="1"/>
  <c r="K10" i="1" s="1" a="1"/>
  <c r="K10" i="1" s="1"/>
  <c r="M9" i="1" a="1"/>
  <c r="M9" i="1" s="1"/>
  <c r="L9" i="1" a="1"/>
  <c r="L9" i="1" s="1"/>
  <c r="J9" i="1"/>
  <c r="K9" i="1" s="1" a="1"/>
  <c r="K9" i="1" s="1"/>
  <c r="M8" i="1" a="1"/>
  <c r="M8" i="1" s="1"/>
  <c r="L8" i="1" a="1"/>
  <c r="L8" i="1" s="1"/>
  <c r="J8" i="1"/>
  <c r="K8" i="1" s="1" a="1"/>
  <c r="K8" i="1" s="1"/>
  <c r="M7" i="1" a="1"/>
  <c r="M7" i="1" s="1"/>
  <c r="L7" i="1" a="1"/>
  <c r="L7" i="1" s="1"/>
  <c r="J7" i="1"/>
  <c r="K7" i="1" s="1" a="1"/>
  <c r="K7" i="1" s="1"/>
  <c r="M6" i="1" a="1"/>
  <c r="M6" i="1" s="1"/>
  <c r="L6" i="1" a="1"/>
  <c r="L6" i="1" s="1"/>
  <c r="J6" i="1"/>
  <c r="K6" i="1" s="1" a="1"/>
  <c r="K6" i="1" s="1"/>
  <c r="M5" i="1" a="1"/>
  <c r="M5" i="1" s="1"/>
  <c r="L5" i="1" a="1"/>
  <c r="L5" i="1" s="1"/>
  <c r="J5" i="1"/>
  <c r="K5" i="1" s="1" a="1"/>
  <c r="K5" i="1" s="1"/>
  <c r="M4" i="1" a="1"/>
  <c r="M4" i="1" s="1"/>
  <c r="L4" i="1" a="1"/>
  <c r="L4" i="1" s="1"/>
  <c r="J4" i="1"/>
  <c r="K4" i="1" s="1" a="1"/>
  <c r="K4" i="1" s="1"/>
  <c r="M3" i="1" a="1"/>
  <c r="M3" i="1" s="1"/>
  <c r="L3" i="1" a="1"/>
  <c r="L3" i="1" s="1"/>
  <c r="J3" i="1"/>
  <c r="K3" i="1" s="1" a="1"/>
  <c r="K3" i="1" s="1"/>
  <c r="M2" i="1" a="1"/>
  <c r="M2" i="1" s="1"/>
  <c r="L2" i="1" a="1"/>
  <c r="L2" i="1" s="1"/>
  <c r="J2" i="1"/>
  <c r="K2" i="1" s="1" a="1"/>
  <c r="K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12CF8-DAD0-4A88-83E4-9FB773FBAFDB}" keepAlive="1" name="Query - HubSpot_property_check" description="Connection to the 'HubSpot_property_check' query in the workbook." type="5" refreshedVersion="8" background="1" saveData="1">
    <dbPr connection="Provider=Microsoft.Mashup.OleDb.1;Data Source=$Workbook$;Location=HubSpot_property_check;Extended Properties=&quot;&quot;" command="SELECT * FROM [HubSpot_property_chec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<sst xmlns="http://schemas.openxmlformats.org/spreadsheetml/2006/main" count="331" uniqueCount="166">
  <si>
    <t>helper</t>
  </si>
  <si>
    <t>Property type</t>
  </si>
  <si>
    <t>Name</t>
  </si>
  <si>
    <t>Internal name</t>
  </si>
  <si>
    <t>Type</t>
  </si>
  <si>
    <t>Read only value</t>
  </si>
  <si>
    <t>Calculated</t>
  </si>
  <si>
    <t>Created user</t>
  </si>
  <si>
    <t>Fill rate</t>
  </si>
  <si>
    <t>is in Ontologie?</t>
  </si>
  <si>
    <t>silver name (if applicable)</t>
  </si>
  <si>
    <t>bronze name (if applicable)</t>
  </si>
  <si>
    <t>source name (if applicable)</t>
  </si>
  <si>
    <t>Companycity</t>
  </si>
  <si>
    <t>Company</t>
  </si>
  <si>
    <t>City</t>
  </si>
  <si>
    <t>city</t>
  </si>
  <si>
    <t>string</t>
  </si>
  <si>
    <t>HubSpot</t>
  </si>
  <si>
    <t>State/Region Code</t>
  </si>
  <si>
    <t>hs_state_code</t>
  </si>
  <si>
    <t>enumeration</t>
  </si>
  <si>
    <t>SEALSQ -</t>
  </si>
  <si>
    <t>number</t>
  </si>
  <si>
    <t>Companyicalps_address_state</t>
  </si>
  <si>
    <t>IcAlps_Address_State</t>
  </si>
  <si>
    <t>icalps_address_state</t>
  </si>
  <si>
    <t>Companyicalps_address_street3</t>
  </si>
  <si>
    <t>icalps_Address_Street3</t>
  </si>
  <si>
    <t>icalps_address_street3</t>
  </si>
  <si>
    <t>IcAlps_AddressCity</t>
  </si>
  <si>
    <t>icalps_addresscity</t>
  </si>
  <si>
    <t>Companyicalps_city</t>
  </si>
  <si>
    <t>IcAlps_City</t>
  </si>
  <si>
    <t>icalps_city</t>
  </si>
  <si>
    <t>Companyicalps_comp_primarypersonid</t>
  </si>
  <si>
    <t>IcAlps_Comp_PrimaryPersonId</t>
  </si>
  <si>
    <t>icalps_comp_primarypersonid</t>
  </si>
  <si>
    <t>Companyicalps_comp_revenue</t>
  </si>
  <si>
    <t>IcAlps_Comp_Revenue</t>
  </si>
  <si>
    <t>icalps_comp_revenue</t>
  </si>
  <si>
    <t>Companyicalps_comp_territory</t>
  </si>
  <si>
    <t>IcAlps_Comp_Territory</t>
  </si>
  <si>
    <t>icalps_comp_territory</t>
  </si>
  <si>
    <t>Companyicalps_company_owner_full</t>
  </si>
  <si>
    <t>IcAlps_Company_owner_full</t>
  </si>
  <si>
    <t>icalps_company_owner_full</t>
  </si>
  <si>
    <t>Companyicalps_company_sector</t>
  </si>
  <si>
    <t>IcAlps_Company_sector</t>
  </si>
  <si>
    <t>icalps_company_sector</t>
  </si>
  <si>
    <t>Companyicalps_companyaddress</t>
  </si>
  <si>
    <t>IcAlps_CompanyAddress</t>
  </si>
  <si>
    <t>icalps_companyaddress</t>
  </si>
  <si>
    <t>Companyicalps_companystate</t>
  </si>
  <si>
    <t>icalps_CompanyState</t>
  </si>
  <si>
    <t>icalps_companystate</t>
  </si>
  <si>
    <t>Companyicalps_compupdateddate</t>
  </si>
  <si>
    <t>IcAlps_CompUpdatedDate</t>
  </si>
  <si>
    <t>icalps_compupdateddate</t>
  </si>
  <si>
    <t>date</t>
  </si>
  <si>
    <t>Companyicalps_contact_id</t>
  </si>
  <si>
    <t>icalps_contact_id</t>
  </si>
  <si>
    <t>Companyicalps_createdate</t>
  </si>
  <si>
    <t>IcAlps_CreateDate</t>
  </si>
  <si>
    <t>icalps_createdate</t>
  </si>
  <si>
    <t>datetime</t>
  </si>
  <si>
    <t>Companyicalps_groupsize</t>
  </si>
  <si>
    <t>IcAlps_GroupSize</t>
  </si>
  <si>
    <t>icalps_groupsize</t>
  </si>
  <si>
    <t>Companyicalps_industry</t>
  </si>
  <si>
    <t>IcAlps_Industry</t>
  </si>
  <si>
    <t>icalps_industry</t>
  </si>
  <si>
    <t>Companyicalps_real_domain</t>
  </si>
  <si>
    <t>icalps_real_domain</t>
  </si>
  <si>
    <t>Companyicalps_sibling_index</t>
  </si>
  <si>
    <t>icalps_sibling_index</t>
  </si>
  <si>
    <t>Companyicalps_sitegroup</t>
  </si>
  <si>
    <t>IcAlps_SiteGroup</t>
  </si>
  <si>
    <t>icalps_sitegroup</t>
  </si>
  <si>
    <t>Companyzip</t>
  </si>
  <si>
    <t>Postal Code</t>
  </si>
  <si>
    <t>zip</t>
  </si>
  <si>
    <t>Contact</t>
  </si>
  <si>
    <t>Contacths_state_code</t>
  </si>
  <si>
    <t>Contactic_alps_contact_quality_score</t>
  </si>
  <si>
    <t>IC_Alps_contact_quality_score</t>
  </si>
  <si>
    <t>ic_alps_contact_quality_score</t>
  </si>
  <si>
    <t>Contacticalps_addresscity</t>
  </si>
  <si>
    <t>Contacticalps_civil</t>
  </si>
  <si>
    <t>icalps_civil</t>
  </si>
  <si>
    <t>Contacticalps_contact_createdate</t>
  </si>
  <si>
    <t>icalps_contact_createdate</t>
  </si>
  <si>
    <t>Contacticalps_contactaddresscity</t>
  </si>
  <si>
    <t>IcAlps_ContactAddressCity</t>
  </si>
  <si>
    <t>icalps_contactaddresscity</t>
  </si>
  <si>
    <t>Contacticalps_contactcreateddate</t>
  </si>
  <si>
    <t>IcAlps_ContactCreatedDate</t>
  </si>
  <si>
    <t>icalps_contactcreateddate</t>
  </si>
  <si>
    <t>Contacticalps_contactstate</t>
  </si>
  <si>
    <t>IcAlps_ContactState</t>
  </si>
  <si>
    <t>icalps_contactstate</t>
  </si>
  <si>
    <t>Contacticalps_department</t>
  </si>
  <si>
    <t>icalps_department</t>
  </si>
  <si>
    <t>Contacticalps_language</t>
  </si>
  <si>
    <t>icalps_language</t>
  </si>
  <si>
    <t>Contacticalps_lastmodifieddate</t>
  </si>
  <si>
    <t>icalps_lastmodifieddate</t>
  </si>
  <si>
    <t>Contacticalps_pers_gender</t>
  </si>
  <si>
    <t>icalps_Pers_Gender</t>
  </si>
  <si>
    <t>icalps_pers_gender</t>
  </si>
  <si>
    <t>Contacticalps_temperature</t>
  </si>
  <si>
    <t>IcAlps_Temperature</t>
  </si>
  <si>
    <t>icalps_temperature</t>
  </si>
  <si>
    <t>Contacticalps_updated_by_email</t>
  </si>
  <si>
    <t>icalps_updated_by_email</t>
  </si>
  <si>
    <t>Deal</t>
  </si>
  <si>
    <t>Dealicalps_dealcompanyid</t>
  </si>
  <si>
    <t>IcAlps_DealCompanyID</t>
  </si>
  <si>
    <t>icalps_dealcompanyid</t>
  </si>
  <si>
    <t>Dealicalps_amount_k__</t>
  </si>
  <si>
    <t>IcAlps_Amount(k€)</t>
  </si>
  <si>
    <t>icalps_amount_k__</t>
  </si>
  <si>
    <t>Dealicalps_opendate2</t>
  </si>
  <si>
    <t>IcAlps_OpenDate2</t>
  </si>
  <si>
    <t>icalps_opendate2</t>
  </si>
  <si>
    <t>Dealicalps_oppo_primarycompanyid</t>
  </si>
  <si>
    <t>icAlps_Oppo_PrimaryCompanyId</t>
  </si>
  <si>
    <t>icalps_oppo_primarycompanyid</t>
  </si>
  <si>
    <t>Dealicalps_oppo_updateddate</t>
  </si>
  <si>
    <t>IcAlps_Oppo_UpdatedDate</t>
  </si>
  <si>
    <t>icalps_oppo_updateddate</t>
  </si>
  <si>
    <t>Dealicalps_primarydealcontact</t>
  </si>
  <si>
    <t>IcAlps_PrimaryDealContact</t>
  </si>
  <si>
    <t>icalps_primarydealcontact</t>
  </si>
  <si>
    <t>Dealicalps_primaryoppocontact</t>
  </si>
  <si>
    <t>IcAlps_PrimaryOppoContact</t>
  </si>
  <si>
    <t>icalps_primaryoppocontact</t>
  </si>
  <si>
    <t>Dealicalpsstageref</t>
  </si>
  <si>
    <t>IcAlpsStageRef</t>
  </si>
  <si>
    <t>icalpsstageref</t>
  </si>
  <si>
    <t>Dealicalps_deal_created_date</t>
  </si>
  <si>
    <t>icalps_deal_created_date</t>
  </si>
  <si>
    <t>Dealicalps_dealcategory</t>
  </si>
  <si>
    <t>icalps_dealcategory</t>
  </si>
  <si>
    <t>Dealicalps_dealforecast</t>
  </si>
  <si>
    <t>icalps_dealforecast</t>
  </si>
  <si>
    <t>Dealicalps_dealsource</t>
  </si>
  <si>
    <t>icalps_dealsource</t>
  </si>
  <si>
    <t>Dealicalps_net_weighted_amount</t>
  </si>
  <si>
    <t>IcAlps_Net_Weighted_Amount (k€)</t>
  </si>
  <si>
    <t>icalps_net_weighted_amount</t>
  </si>
  <si>
    <t>Dealicalps_netamount</t>
  </si>
  <si>
    <t>IcAlps_NetAmount</t>
  </si>
  <si>
    <t>icalps_netamount</t>
  </si>
  <si>
    <t>Dealicalps_original_status</t>
  </si>
  <si>
    <t>icalps_original_status</t>
  </si>
  <si>
    <t>Dealicalps_originalstage</t>
  </si>
  <si>
    <t>icalps_originalstage</t>
  </si>
  <si>
    <t>Dealicalps_ownerid</t>
  </si>
  <si>
    <t>IcAlps_ownerid</t>
  </si>
  <si>
    <t>icalps_ownerid</t>
  </si>
  <si>
    <t>Dealicalps_pipeline_stage_key</t>
  </si>
  <si>
    <t>icalps_Pipeline_Stage_Key</t>
  </si>
  <si>
    <t>icalps_pipeline_stage_key</t>
  </si>
  <si>
    <t>Dealicalps_transformation_notes</t>
  </si>
  <si>
    <t>icalps_transformation_notes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</si>
</sst>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15">
    <dxf>
      <fill>
        <patternFill>
          <bgColor theme="9" tint="0.79998168889431442"/>
        </patternFill>
      </fill>
    </dxf>
    <dxf>
      <fill>
        <patternFill>
          <bgColor rgb="FFFFC5C5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IcAlps_HubSpot_Mapping_Checks_v4%20(1).xlsx" TargetMode="External"/><Relationship Id="rId2" Type="http://schemas.openxmlformats.org/officeDocument/2006/relationships/externalLinkPath" Target="file:///C:\Users\ayaobama\Downloads\IcAlps_HubSpot_Mapping_Checks_v4%20(1).xlsx" TargetMode="External"/><Relationship Id="rId1" Type="http://schemas.openxmlformats.org/officeDocument/2006/relationships/externalLinkPath" Target="/Users/ayaobama/Downloads/IcAlps_HubSpot_Mapping_Checks_v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tologie"/>
      <sheetName val="HubSpot_property_check"/>
      <sheetName val="Silver_property_check"/>
      <sheetName val="Bronze_property_check"/>
      <sheetName val="Source_property_check"/>
      <sheetName val="Check_config"/>
      <sheetName val="Source_to_bronze_map"/>
      <sheetName val="Bronze_to_silver_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BE7414-96F0-4027-90CC-26667C31DB5D}" autoFormatId="16" applyNumberFormats="0" applyBorderFormats="0" applyFontFormats="0" applyPatternFormats="0" applyAlignmentFormats="0" applyWidthHeightFormats="0">
  <queryTableRefresh nextId="17" unboundColumnsRight="4">
    <queryTableFields count="13">
      <queryTableField id="9" name="Helper" tableColumnId="9"/>
      <queryTableField id="1" name="Property type" tableColumnId="1"/>
      <queryTableField id="2" name="Name" tableColumnId="2"/>
      <queryTableField id="3" name="Internal name" tableColumnId="3"/>
      <queryTableField id="4" name="Type" tableColumnId="4"/>
      <queryTableField id="5" name="Read only value" tableColumnId="5"/>
      <queryTableField id="6" name="Calculated" tableColumnId="6"/>
      <queryTableField id="7" name="Created user" tableColumnId="7"/>
      <queryTableField id="8" name="Fill rate" tableColumnId="8"/>
      <queryTableField id="11" dataBound="0" tableColumnId="10"/>
      <queryTableField id="12" dataBound="0" tableColumnId="11"/>
      <queryTableField id="13" dataBound="0" tableColumnId="12"/>
      <queryTableField id="16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AB62B-5608-4678-A3BE-64F7A3325397}" name="HubSpot_property_check" displayName="HubSpot_property_check" ref="A1:M54" tableType="queryTable" totalsRowShown="0">
  <autoFilter ref="A1:M54" xr:uid="{ACFD507C-B79A-4D37-8EAE-A395A9B1A038}"/>
  <tableColumns count="13">
    <tableColumn id="9" xr3:uid="{3EA9B06F-790E-4A67-80D3-96122EF863F4}" uniqueName="9" name="helper" queryTableFieldId="9" dataDxfId="14"/>
    <tableColumn id="1" xr3:uid="{FFF68583-EA5E-4A3A-8418-C1D8CE37FCF2}" uniqueName="1" name="Property type" queryTableFieldId="1" dataDxfId="13"/>
    <tableColumn id="2" xr3:uid="{4B7647F4-4B3C-40BF-B894-D1220536D6BF}" uniqueName="2" name="Name" queryTableFieldId="2" dataDxfId="12"/>
    <tableColumn id="3" xr3:uid="{6B4B6023-679B-40B0-BE98-EC15F2C49806}" uniqueName="3" name="Internal name" queryTableFieldId="3" dataDxfId="11"/>
    <tableColumn id="4" xr3:uid="{494A52EC-5EE1-4C28-A1FF-59672482E543}" uniqueName="4" name="Type" queryTableFieldId="4" dataDxfId="10"/>
    <tableColumn id="5" xr3:uid="{AA3B1E6E-0230-4DB6-A1B0-8829AE0A6343}" uniqueName="5" name="Read only value" queryTableFieldId="5" dataDxfId="9"/>
    <tableColumn id="6" xr3:uid="{8CEDB7CE-0B48-4DF5-BB5D-E9D7701ACF46}" uniqueName="6" name="Calculated" queryTableFieldId="6" dataDxfId="8"/>
    <tableColumn id="7" xr3:uid="{E5D909ED-1A57-4AA4-B734-CDD9BF928DFF}" uniqueName="7" name="Created user" queryTableFieldId="7" dataDxfId="7"/>
    <tableColumn id="8" xr3:uid="{2E8619B7-DF36-4420-A501-6E75C3FE12FB}" uniqueName="8" name="Fill rate" queryTableFieldId="8" dataDxfId="6" dataCellStyle="Percent"/>
    <tableColumn id="10" xr3:uid="{043014C8-1858-4B3A-A540-7BDCEE4BB0F2}" uniqueName="10" name="is in Ontologie?" queryTableFieldId="11" dataDxfId="5">
      <calculatedColumnFormula>IF(COUNTIF([1]!ontologie[[#All],[hubspot_helper]], A2) &gt; 0, TRUE, FALSE)</calculatedColumnFormula>
    </tableColumn>
    <tableColumn id="11" xr3:uid="{24FA48CE-6B9D-478D-9D24-287D00B2BC4F}" uniqueName="11" name="silver name (if applicable)" queryTableFieldId="12" dataDxfId="4">
      <calculatedColumnFormula array="1">IF(HubSpot_property_check[[#This Row],[is in Ontologie?]]=TRUE,VLOOKUP(HubSpot_property_check[[#This Row],[helper]],[1]!ontologie[#All],COLUMN([1]!ontologie[[#All],[name in silver]]),FALSE),"")</calculatedColumnFormula>
    </tableColumn>
    <tableColumn id="12" xr3:uid="{21E2C30B-287A-4A54-AA27-5B87AB6F59C8}" uniqueName="12" name="bronze name (if applicable)" queryTableFieldId="13" dataDxfId="3">
      <calculatedColumnFormula array="1">_xlfn.TEXTJOIN(CHAR(10), TRUE, _xlfn._xlws.FILTER([1]!ontologie[name in bronze], [1]!ontologie[hubspot_helper]=HubSpot_property_check[[#This Row],[helper]], ""))</calculatedColumnFormula>
    </tableColumn>
    <tableColumn id="15" xr3:uid="{82DFCDD5-8570-477F-B368-F708139C6486}" uniqueName="15" name="source name (if applicable)" queryTableFieldId="16" dataDxfId="2">
      <calculatedColumnFormula array="1">_xlfn.TEXTJOIN(CHAR(10), TRUE, _xlfn._xlws.FILTER([1]!ontologie[name in source], [1]!ontologie[hubspot_helper]=HubSpot_property_check[[#This Row],[helper]], ""))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A683-73ED-48C7-AFA6-B5A1524FA57F}">
  <sheetPr>
    <tabColor theme="9"/>
  </sheetPr>
  <dimension ref="A1:M54"/>
  <sheetViews>
    <sheetView tabSelected="1" workbookViewId="0">
      <selection activeCell="C1" sqref="C1"/>
    </sheetView>
  </sheetViews>
  <sheetFormatPr defaultRowHeight="15" x14ac:dyDescent="0.25"/>
  <cols>
    <col min="1" max="1" width="34.42578125" bestFit="1" customWidth="1"/>
    <col min="2" max="2" width="14.140625" bestFit="1" customWidth="1"/>
    <col min="3" max="3" width="31.85546875" bestFit="1" customWidth="1"/>
    <col min="4" max="4" width="30.42578125" bestFit="1" customWidth="1"/>
    <col min="5" max="5" width="11.140625" bestFit="1" customWidth="1"/>
    <col min="6" max="6" width="16.28515625" bestFit="1" customWidth="1"/>
    <col min="7" max="7" width="12.28515625" style="1" bestFit="1" customWidth="1"/>
    <col min="8" max="8" width="13.7109375" style="1" bestFit="1" customWidth="1"/>
    <col min="9" max="9" width="9.42578125" bestFit="1" customWidth="1"/>
    <col min="10" max="10" width="15.85546875" bestFit="1" customWidth="1"/>
    <col min="11" max="11" width="30.42578125" bestFit="1" customWidth="1"/>
    <col min="12" max="12" width="28.42578125" bestFit="1" customWidth="1"/>
    <col min="13" max="13" width="33.85546875" style="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b">
        <v>0</v>
      </c>
      <c r="G2" t="b">
        <v>0</v>
      </c>
      <c r="H2" t="s">
        <v>18</v>
      </c>
      <c r="I2" s="1">
        <v>0.59599999999999997</v>
      </c>
      <c r="J2" t="b">
        <f>IF(COUNTIF([1]!ontologie[[#All],[hubspot_helper]], A2) &gt; 0, TRUE, FALSE)</f>
        <v>0</v>
      </c>
      <c r="K2" t="str" cm="1">
        <f t="array" ref="K2">IF(HubSpot_property_check[[#This Row],[is in Ontologie?]]=TRUE,VLOOKUP(HubSpot_property_check[[#This Row],[helper]],[1]!ontologie[#All],COLUMN([1]!ontologie[[#All],[name in silver]]),FALSE),"")</f>
        <v/>
      </c>
      <c r="L2" s="2" t="str" cm="1">
        <f t="array" ref="L2">_xlfn.TEXTJOIN(CHAR(10), TRUE, _xlfn._xlws.FILTER([1]!ontologie[name in bronze], [1]!ontologie[hubspot_helper]=HubSpot_property_check[[#This Row],[helper]], ""))</f>
        <v/>
      </c>
      <c r="M2" s="2" t="str" cm="1">
        <f t="array" ref="M2">_xlfn.TEXTJOIN(CHAR(10), TRUE, _xlfn._xlws.FILTER([1]!ontologie[name in source], [1]!ontologie[hubspot_helper]=HubSpot_property_check[[#This Row],[helper]], ""))</f>
        <v/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b">
        <v>0</v>
      </c>
      <c r="G3" t="b">
        <v>0</v>
      </c>
      <c r="H3" t="s">
        <v>22</v>
      </c>
      <c r="I3" s="1">
        <v>3.0999999999999999E-3</v>
      </c>
      <c r="J3" t="b">
        <f>IF(COUNTIF([1]!ontologie[[#All],[hubspot_helper]], A3) &gt; 0, TRUE, FALSE)</f>
        <v>0</v>
      </c>
      <c r="K3" t="str" cm="1">
        <f t="array" ref="K3">IF(HubSpot_property_check[[#This Row],[is in Ontologie?]]=TRUE,VLOOKUP(HubSpot_property_check[[#This Row],[helper]],[1]!ontologie[#All],COLUMN([1]!ontologie[[#All],[name in silver]]),FALSE),"")</f>
        <v/>
      </c>
      <c r="L3" s="2" t="str" cm="1">
        <f t="array" ref="L3">_xlfn.TEXTJOIN(CHAR(10), TRUE, _xlfn._xlws.FILTER([1]!ontologie[name in bronze], [1]!ontologie[hubspot_helper]=HubSpot_property_check[[#This Row],[helper]], ""))</f>
        <v/>
      </c>
      <c r="M3" s="2" t="str" cm="1">
        <f t="array" ref="M3">_xlfn.TEXTJOIN(CHAR(10), TRUE, _xlfn._xlws.FILTER([1]!ontologie[name in source], [1]!ontologie[hubspot_helper]=HubSpot_property_check[[#This Row],[helper]], ""))</f>
        <v/>
      </c>
    </row>
    <row r="4" spans="1:13" x14ac:dyDescent="0.25">
      <c r="A4" t="s">
        <v>27</v>
      </c>
      <c r="B4" t="s">
        <v>14</v>
      </c>
      <c r="C4" t="s">
        <v>28</v>
      </c>
      <c r="D4" t="s">
        <v>29</v>
      </c>
      <c r="E4" t="s">
        <v>17</v>
      </c>
      <c r="F4" t="b">
        <v>0</v>
      </c>
      <c r="G4" t="b">
        <v>0</v>
      </c>
      <c r="H4" t="s">
        <v>22</v>
      </c>
      <c r="I4" s="1">
        <v>1.9E-3</v>
      </c>
      <c r="J4" t="b">
        <f>IF(COUNTIF([1]!ontologie[[#All],[hubspot_helper]], A4) &gt; 0, TRUE, FALSE)</f>
        <v>0</v>
      </c>
      <c r="K4" t="str" cm="1">
        <f t="array" ref="K4">IF(HubSpot_property_check[[#This Row],[is in Ontologie?]]=TRUE,VLOOKUP(HubSpot_property_check[[#This Row],[helper]],[1]!ontologie[#All],COLUMN([1]!ontologie[[#All],[name in silver]]),FALSE),"")</f>
        <v/>
      </c>
      <c r="L4" s="2" t="str" cm="1">
        <f t="array" ref="L4">_xlfn.TEXTJOIN(CHAR(10), TRUE, _xlfn._xlws.FILTER([1]!ontologie[name in bronze], [1]!ontologie[hubspot_helper]=HubSpot_property_check[[#This Row],[helper]], ""))</f>
        <v/>
      </c>
      <c r="M4" s="2" t="str" cm="1">
        <f t="array" ref="M4">_xlfn.TEXTJOIN(CHAR(10), TRUE, _xlfn._xlws.FILTER([1]!ontologie[name in source], [1]!ontologie[hubspot_helper]=HubSpot_property_check[[#This Row],[helper]], ""))</f>
        <v/>
      </c>
    </row>
    <row r="5" spans="1:13" x14ac:dyDescent="0.25">
      <c r="A5" t="s">
        <v>32</v>
      </c>
      <c r="B5" t="s">
        <v>14</v>
      </c>
      <c r="C5" t="s">
        <v>33</v>
      </c>
      <c r="D5" t="s">
        <v>34</v>
      </c>
      <c r="E5" t="s">
        <v>17</v>
      </c>
      <c r="F5" t="b">
        <v>0</v>
      </c>
      <c r="G5" t="b">
        <v>0</v>
      </c>
      <c r="H5" t="s">
        <v>22</v>
      </c>
      <c r="I5" s="1">
        <v>7.0999999999999995E-3</v>
      </c>
      <c r="J5" t="b">
        <f>IF(COUNTIF([1]!ontologie[[#All],[hubspot_helper]], A5) &gt; 0, TRUE, FALSE)</f>
        <v>0</v>
      </c>
      <c r="K5" t="str" cm="1">
        <f t="array" ref="K5">IF(HubSpot_property_check[[#This Row],[is in Ontologie?]]=TRUE,VLOOKUP(HubSpot_property_check[[#This Row],[helper]],[1]!ontologie[#All],COLUMN([1]!ontologie[[#All],[name in silver]]),FALSE),"")</f>
        <v/>
      </c>
      <c r="L5" s="2" t="str" cm="1">
        <f t="array" ref="L5">_xlfn.TEXTJOIN(CHAR(10), TRUE, _xlfn._xlws.FILTER([1]!ontologie[name in bronze], [1]!ontologie[hubspot_helper]=HubSpot_property_check[[#This Row],[helper]], ""))</f>
        <v/>
      </c>
      <c r="M5" s="2" t="str" cm="1">
        <f t="array" ref="M5">_xlfn.TEXTJOIN(CHAR(10), TRUE, _xlfn._xlws.FILTER([1]!ontologie[name in source], [1]!ontologie[hubspot_helper]=HubSpot_property_check[[#This Row],[helper]], ""))</f>
        <v/>
      </c>
    </row>
    <row r="6" spans="1:13" x14ac:dyDescent="0.25">
      <c r="A6" t="s">
        <v>35</v>
      </c>
      <c r="B6" t="s">
        <v>14</v>
      </c>
      <c r="C6" t="s">
        <v>36</v>
      </c>
      <c r="D6" t="s">
        <v>37</v>
      </c>
      <c r="E6" t="s">
        <v>23</v>
      </c>
      <c r="F6" t="b">
        <v>0</v>
      </c>
      <c r="G6" t="b">
        <v>0</v>
      </c>
      <c r="H6" t="s">
        <v>22</v>
      </c>
      <c r="I6" s="1">
        <v>0.13140000000000002</v>
      </c>
      <c r="J6" t="b">
        <f>IF(COUNTIF([1]!ontologie[[#All],[hubspot_helper]], A6) &gt; 0, TRUE, FALSE)</f>
        <v>0</v>
      </c>
      <c r="K6" t="str" cm="1">
        <f t="array" ref="K6">IF(HubSpot_property_check[[#This Row],[is in Ontologie?]]=TRUE,VLOOKUP(HubSpot_property_check[[#This Row],[helper]],[1]!ontologie[#All],COLUMN([1]!ontologie[[#All],[name in silver]]),FALSE),"")</f>
        <v/>
      </c>
      <c r="L6" s="2" t="str" cm="1">
        <f t="array" ref="L6">_xlfn.TEXTJOIN(CHAR(10), TRUE, _xlfn._xlws.FILTER([1]!ontologie[name in bronze], [1]!ontologie[hubspot_helper]=HubSpot_property_check[[#This Row],[helper]], ""))</f>
        <v/>
      </c>
      <c r="M6" s="2" t="str" cm="1">
        <f t="array" ref="M6">_xlfn.TEXTJOIN(CHAR(10), TRUE, _xlfn._xlws.FILTER([1]!ontologie[name in source], [1]!ontologie[hubspot_helper]=HubSpot_property_check[[#This Row],[helper]], ""))</f>
        <v/>
      </c>
    </row>
    <row r="7" spans="1:13" x14ac:dyDescent="0.25">
      <c r="A7" t="s">
        <v>38</v>
      </c>
      <c r="B7" t="s">
        <v>14</v>
      </c>
      <c r="C7" t="s">
        <v>39</v>
      </c>
      <c r="D7" t="s">
        <v>40</v>
      </c>
      <c r="E7" t="s">
        <v>21</v>
      </c>
      <c r="F7" t="b">
        <v>0</v>
      </c>
      <c r="G7" t="b">
        <v>0</v>
      </c>
      <c r="H7" t="s">
        <v>22</v>
      </c>
      <c r="I7" s="1">
        <v>1.9E-3</v>
      </c>
      <c r="J7" t="b">
        <f>IF(COUNTIF([1]!ontologie[[#All],[hubspot_helper]], A7) &gt; 0, TRUE, FALSE)</f>
        <v>0</v>
      </c>
      <c r="K7" t="str" cm="1">
        <f t="array" ref="K7">IF(HubSpot_property_check[[#This Row],[is in Ontologie?]]=TRUE,VLOOKUP(HubSpot_property_check[[#This Row],[helper]],[1]!ontologie[#All],COLUMN([1]!ontologie[[#All],[name in silver]]),FALSE),"")</f>
        <v/>
      </c>
      <c r="L7" s="2" t="str" cm="1">
        <f t="array" ref="L7">_xlfn.TEXTJOIN(CHAR(10), TRUE, _xlfn._xlws.FILTER([1]!ontologie[name in bronze], [1]!ontologie[hubspot_helper]=HubSpot_property_check[[#This Row],[helper]], ""))</f>
        <v/>
      </c>
      <c r="M7" s="2" t="str" cm="1">
        <f t="array" ref="M7">_xlfn.TEXTJOIN(CHAR(10), TRUE, _xlfn._xlws.FILTER([1]!ontologie[name in source], [1]!ontologie[hubspot_helper]=HubSpot_property_check[[#This Row],[helper]], ""))</f>
        <v/>
      </c>
    </row>
    <row r="8" spans="1:13" x14ac:dyDescent="0.25">
      <c r="A8" t="s">
        <v>41</v>
      </c>
      <c r="B8" t="s">
        <v>14</v>
      </c>
      <c r="C8" t="s">
        <v>42</v>
      </c>
      <c r="D8" t="s">
        <v>43</v>
      </c>
      <c r="E8" t="s">
        <v>17</v>
      </c>
      <c r="F8" t="b">
        <v>0</v>
      </c>
      <c r="G8" t="b">
        <v>0</v>
      </c>
      <c r="H8" t="s">
        <v>22</v>
      </c>
      <c r="I8" s="1">
        <v>0</v>
      </c>
      <c r="J8" t="b">
        <f>IF(COUNTIF([1]!ontologie[[#All],[hubspot_helper]], A8) &gt; 0, TRUE, FALSE)</f>
        <v>0</v>
      </c>
      <c r="K8" t="str" cm="1">
        <f t="array" ref="K8">IF(HubSpot_property_check[[#This Row],[is in Ontologie?]]=TRUE,VLOOKUP(HubSpot_property_check[[#This Row],[helper]],[1]!ontologie[#All],COLUMN([1]!ontologie[[#All],[name in silver]]),FALSE),"")</f>
        <v/>
      </c>
      <c r="L8" s="2" t="str" cm="1">
        <f t="array" ref="L8">_xlfn.TEXTJOIN(CHAR(10), TRUE, _xlfn._xlws.FILTER([1]!ontologie[name in bronze], [1]!ontologie[hubspot_helper]=HubSpot_property_check[[#This Row],[helper]], ""))</f>
        <v/>
      </c>
      <c r="M8" s="2" t="str" cm="1">
        <f t="array" ref="M8">_xlfn.TEXTJOIN(CHAR(10), TRUE, _xlfn._xlws.FILTER([1]!ontologie[name in source], [1]!ontologie[hubspot_helper]=HubSpot_property_check[[#This Row],[helper]], ""))</f>
        <v/>
      </c>
    </row>
    <row r="9" spans="1:13" x14ac:dyDescent="0.25">
      <c r="A9" t="s">
        <v>44</v>
      </c>
      <c r="B9" t="s">
        <v>14</v>
      </c>
      <c r="C9" t="s">
        <v>45</v>
      </c>
      <c r="D9" t="s">
        <v>46</v>
      </c>
      <c r="E9" t="s">
        <v>17</v>
      </c>
      <c r="F9" t="b">
        <v>0</v>
      </c>
      <c r="G9" t="b">
        <v>0</v>
      </c>
      <c r="H9" t="s">
        <v>22</v>
      </c>
      <c r="I9" s="1">
        <v>0.1726</v>
      </c>
      <c r="J9" t="b">
        <f>IF(COUNTIF([1]!ontologie[[#All],[hubspot_helper]], A9) &gt; 0, TRUE, FALSE)</f>
        <v>0</v>
      </c>
      <c r="K9" t="str" cm="1">
        <f t="array" ref="K9">IF(HubSpot_property_check[[#This Row],[is in Ontologie?]]=TRUE,VLOOKUP(HubSpot_property_check[[#This Row],[helper]],[1]!ontologie[#All],COLUMN([1]!ontologie[[#All],[name in silver]]),FALSE),"")</f>
        <v/>
      </c>
      <c r="L9" s="2" t="str" cm="1">
        <f t="array" ref="L9">_xlfn.TEXTJOIN(CHAR(10), TRUE, _xlfn._xlws.FILTER([1]!ontologie[name in bronze], [1]!ontologie[hubspot_helper]=HubSpot_property_check[[#This Row],[helper]], ""))</f>
        <v/>
      </c>
      <c r="M9" s="2" t="str" cm="1">
        <f t="array" ref="M9">_xlfn.TEXTJOIN(CHAR(10), TRUE, _xlfn._xlws.FILTER([1]!ontologie[name in source], [1]!ontologie[hubspot_helper]=HubSpot_property_check[[#This Row],[helper]], ""))</f>
        <v/>
      </c>
    </row>
    <row r="10" spans="1:13" x14ac:dyDescent="0.25">
      <c r="A10" t="s">
        <v>47</v>
      </c>
      <c r="B10" t="s">
        <v>14</v>
      </c>
      <c r="C10" t="s">
        <v>48</v>
      </c>
      <c r="D10" t="s">
        <v>49</v>
      </c>
      <c r="E10" t="s">
        <v>21</v>
      </c>
      <c r="F10" t="b">
        <v>0</v>
      </c>
      <c r="G10" t="b">
        <v>0</v>
      </c>
      <c r="H10" t="s">
        <v>22</v>
      </c>
      <c r="I10" s="1">
        <v>0.17030000000000001</v>
      </c>
      <c r="J10" t="b">
        <f>IF(COUNTIF([1]!ontologie[[#All],[hubspot_helper]], A10) &gt; 0, TRUE, FALSE)</f>
        <v>0</v>
      </c>
      <c r="K10" t="str" cm="1">
        <f t="array" ref="K10">IF(HubSpot_property_check[[#This Row],[is in Ontologie?]]=TRUE,VLOOKUP(HubSpot_property_check[[#This Row],[helper]],[1]!ontologie[#All],COLUMN([1]!ontologie[[#All],[name in silver]]),FALSE),"")</f>
        <v/>
      </c>
      <c r="L10" s="2" t="str" cm="1">
        <f t="array" ref="L10">_xlfn.TEXTJOIN(CHAR(10), TRUE, _xlfn._xlws.FILTER([1]!ontologie[name in bronze], [1]!ontologie[hubspot_helper]=HubSpot_property_check[[#This Row],[helper]], ""))</f>
        <v/>
      </c>
      <c r="M10" s="2" t="str" cm="1">
        <f t="array" ref="M10">_xlfn.TEXTJOIN(CHAR(10), TRUE, _xlfn._xlws.FILTER([1]!ontologie[name in source], [1]!ontologie[hubspot_helper]=HubSpot_property_check[[#This Row],[helper]], ""))</f>
        <v/>
      </c>
    </row>
    <row r="11" spans="1:13" x14ac:dyDescent="0.25">
      <c r="A11" t="s">
        <v>50</v>
      </c>
      <c r="B11" t="s">
        <v>14</v>
      </c>
      <c r="C11" t="s">
        <v>51</v>
      </c>
      <c r="D11" t="s">
        <v>52</v>
      </c>
      <c r="E11" t="s">
        <v>23</v>
      </c>
      <c r="F11" t="b">
        <v>0</v>
      </c>
      <c r="G11" t="b">
        <v>0</v>
      </c>
      <c r="H11" t="s">
        <v>22</v>
      </c>
      <c r="I11" s="1">
        <v>0</v>
      </c>
      <c r="J11" t="b">
        <f>IF(COUNTIF([1]!ontologie[[#All],[hubspot_helper]], A11) &gt; 0, TRUE, FALSE)</f>
        <v>0</v>
      </c>
      <c r="K11" t="str" cm="1">
        <f t="array" ref="K11">IF(HubSpot_property_check[[#This Row],[is in Ontologie?]]=TRUE,VLOOKUP(HubSpot_property_check[[#This Row],[helper]],[1]!ontologie[#All],COLUMN([1]!ontologie[[#All],[name in silver]]),FALSE),"")</f>
        <v/>
      </c>
      <c r="L11" s="2" t="str" cm="1">
        <f t="array" ref="L11">_xlfn.TEXTJOIN(CHAR(10), TRUE, _xlfn._xlws.FILTER([1]!ontologie[name in bronze], [1]!ontologie[hubspot_helper]=HubSpot_property_check[[#This Row],[helper]], ""))</f>
        <v/>
      </c>
      <c r="M11" s="2" t="str" cm="1">
        <f t="array" ref="M11">_xlfn.TEXTJOIN(CHAR(10), TRUE, _xlfn._xlws.FILTER([1]!ontologie[name in source], [1]!ontologie[hubspot_helper]=HubSpot_property_check[[#This Row],[helper]], ""))</f>
        <v/>
      </c>
    </row>
    <row r="12" spans="1:13" x14ac:dyDescent="0.25">
      <c r="A12" t="s">
        <v>53</v>
      </c>
      <c r="B12" t="s">
        <v>14</v>
      </c>
      <c r="C12" t="s">
        <v>54</v>
      </c>
      <c r="D12" t="s">
        <v>55</v>
      </c>
      <c r="E12" t="s">
        <v>17</v>
      </c>
      <c r="F12" t="b">
        <v>0</v>
      </c>
      <c r="G12" t="b">
        <v>0</v>
      </c>
      <c r="H12" t="s">
        <v>22</v>
      </c>
      <c r="I12" s="1">
        <v>0.11550000000000001</v>
      </c>
      <c r="J12" t="b">
        <f>IF(COUNTIF([1]!ontologie[[#All],[hubspot_helper]], A12) &gt; 0, TRUE, FALSE)</f>
        <v>0</v>
      </c>
      <c r="K12" t="str" cm="1">
        <f t="array" ref="K12">IF(HubSpot_property_check[[#This Row],[is in Ontologie?]]=TRUE,VLOOKUP(HubSpot_property_check[[#This Row],[helper]],[1]!ontologie[#All],COLUMN([1]!ontologie[[#All],[name in silver]]),FALSE),"")</f>
        <v/>
      </c>
      <c r="L12" s="2" t="str" cm="1">
        <f t="array" ref="L12">_xlfn.TEXTJOIN(CHAR(10), TRUE, _xlfn._xlws.FILTER([1]!ontologie[name in bronze], [1]!ontologie[hubspot_helper]=HubSpot_property_check[[#This Row],[helper]], ""))</f>
        <v/>
      </c>
      <c r="M12" s="2" t="str" cm="1">
        <f t="array" ref="M12">_xlfn.TEXTJOIN(CHAR(10), TRUE, _xlfn._xlws.FILTER([1]!ontologie[name in source], [1]!ontologie[hubspot_helper]=HubSpot_property_check[[#This Row],[helper]], ""))</f>
        <v/>
      </c>
    </row>
    <row r="13" spans="1:13" x14ac:dyDescent="0.25">
      <c r="A13" t="s">
        <v>56</v>
      </c>
      <c r="B13" t="s">
        <v>14</v>
      </c>
      <c r="C13" t="s">
        <v>57</v>
      </c>
      <c r="D13" t="s">
        <v>58</v>
      </c>
      <c r="E13" t="s">
        <v>59</v>
      </c>
      <c r="F13" t="b">
        <v>0</v>
      </c>
      <c r="G13" t="b">
        <v>0</v>
      </c>
      <c r="H13" t="s">
        <v>22</v>
      </c>
      <c r="I13" s="1">
        <v>0</v>
      </c>
      <c r="J13" t="b">
        <f>IF(COUNTIF([1]!ontologie[[#All],[hubspot_helper]], A13) &gt; 0, TRUE, FALSE)</f>
        <v>0</v>
      </c>
      <c r="K13" t="str" cm="1">
        <f t="array" ref="K13">IF(HubSpot_property_check[[#This Row],[is in Ontologie?]]=TRUE,VLOOKUP(HubSpot_property_check[[#This Row],[helper]],[1]!ontologie[#All],COLUMN([1]!ontologie[[#All],[name in silver]]),FALSE),"")</f>
        <v/>
      </c>
      <c r="L13" s="2" t="str" cm="1">
        <f t="array" ref="L13">_xlfn.TEXTJOIN(CHAR(10), TRUE, _xlfn._xlws.FILTER([1]!ontologie[name in bronze], [1]!ontologie[hubspot_helper]=HubSpot_property_check[[#This Row],[helper]], ""))</f>
        <v/>
      </c>
      <c r="M13" s="2" t="str" cm="1">
        <f t="array" ref="M13">_xlfn.TEXTJOIN(CHAR(10), TRUE, _xlfn._xlws.FILTER([1]!ontologie[name in source], [1]!ontologie[hubspot_helper]=HubSpot_property_check[[#This Row],[helper]], ""))</f>
        <v/>
      </c>
    </row>
    <row r="14" spans="1:13" x14ac:dyDescent="0.25">
      <c r="A14" t="s">
        <v>60</v>
      </c>
      <c r="B14" t="s">
        <v>14</v>
      </c>
      <c r="C14" t="s">
        <v>61</v>
      </c>
      <c r="D14" t="s">
        <v>61</v>
      </c>
      <c r="E14" t="s">
        <v>17</v>
      </c>
      <c r="F14" t="b">
        <v>0</v>
      </c>
      <c r="G14" t="b">
        <v>0</v>
      </c>
      <c r="H14" t="s">
        <v>22</v>
      </c>
      <c r="I14" s="1">
        <v>0.1321</v>
      </c>
      <c r="J14" t="b">
        <f>IF(COUNTIF([1]!ontologie[[#All],[hubspot_helper]], A14) &gt; 0, TRUE, FALSE)</f>
        <v>0</v>
      </c>
      <c r="K14" t="str" cm="1">
        <f t="array" ref="K14">IF(HubSpot_property_check[[#This Row],[is in Ontologie?]]=TRUE,VLOOKUP(HubSpot_property_check[[#This Row],[helper]],[1]!ontologie[#All],COLUMN([1]!ontologie[[#All],[name in silver]]),FALSE),"")</f>
        <v/>
      </c>
      <c r="L14" s="2" t="str" cm="1">
        <f t="array" ref="L14">_xlfn.TEXTJOIN(CHAR(10), TRUE, _xlfn._xlws.FILTER([1]!ontologie[name in bronze], [1]!ontologie[hubspot_helper]=HubSpot_property_check[[#This Row],[helper]], ""))</f>
        <v/>
      </c>
      <c r="M14" s="2" t="str" cm="1">
        <f t="array" ref="M14">_xlfn.TEXTJOIN(CHAR(10), TRUE, _xlfn._xlws.FILTER([1]!ontologie[name in source], [1]!ontologie[hubspot_helper]=HubSpot_property_check[[#This Row],[helper]], ""))</f>
        <v/>
      </c>
    </row>
    <row r="15" spans="1:13" x14ac:dyDescent="0.25">
      <c r="A15" t="s">
        <v>62</v>
      </c>
      <c r="B15" t="s">
        <v>14</v>
      </c>
      <c r="C15" t="s">
        <v>63</v>
      </c>
      <c r="D15" t="s">
        <v>64</v>
      </c>
      <c r="E15" t="s">
        <v>65</v>
      </c>
      <c r="F15" t="b">
        <v>0</v>
      </c>
      <c r="G15" t="b">
        <v>0</v>
      </c>
      <c r="H15" t="s">
        <v>22</v>
      </c>
      <c r="I15" s="1">
        <v>0.17989999999999998</v>
      </c>
      <c r="J15" t="b">
        <f>IF(COUNTIF([1]!ontologie[[#All],[hubspot_helper]], A15) &gt; 0, TRUE, FALSE)</f>
        <v>0</v>
      </c>
      <c r="K15" t="str" cm="1">
        <f t="array" ref="K15">IF(HubSpot_property_check[[#This Row],[is in Ontologie?]]=TRUE,VLOOKUP(HubSpot_property_check[[#This Row],[helper]],[1]!ontologie[#All],COLUMN([1]!ontologie[[#All],[name in silver]]),FALSE),"")</f>
        <v/>
      </c>
      <c r="L15" s="2" t="str" cm="1">
        <f t="array" ref="L15">_xlfn.TEXTJOIN(CHAR(10), TRUE, _xlfn._xlws.FILTER([1]!ontologie[name in bronze], [1]!ontologie[hubspot_helper]=HubSpot_property_check[[#This Row],[helper]], ""))</f>
        <v/>
      </c>
      <c r="M15" s="2" t="str" cm="1">
        <f t="array" ref="M15">_xlfn.TEXTJOIN(CHAR(10), TRUE, _xlfn._xlws.FILTER([1]!ontologie[name in source], [1]!ontologie[hubspot_helper]=HubSpot_property_check[[#This Row],[helper]], ""))</f>
        <v/>
      </c>
    </row>
    <row r="16" spans="1:13" x14ac:dyDescent="0.25">
      <c r="A16" t="s">
        <v>66</v>
      </c>
      <c r="B16" t="s">
        <v>14</v>
      </c>
      <c r="C16" t="s">
        <v>67</v>
      </c>
      <c r="D16" t="s">
        <v>68</v>
      </c>
      <c r="E16" t="s">
        <v>23</v>
      </c>
      <c r="F16" t="b">
        <v>0</v>
      </c>
      <c r="G16" t="b">
        <v>0</v>
      </c>
      <c r="H16" t="s">
        <v>22</v>
      </c>
      <c r="I16" s="1">
        <v>5.5399999999999998E-2</v>
      </c>
      <c r="J16" t="b">
        <f>IF(COUNTIF([1]!ontologie[[#All],[hubspot_helper]], A16) &gt; 0, TRUE, FALSE)</f>
        <v>0</v>
      </c>
      <c r="K16" t="str" cm="1">
        <f t="array" ref="K16">IF(HubSpot_property_check[[#This Row],[is in Ontologie?]]=TRUE,VLOOKUP(HubSpot_property_check[[#This Row],[helper]],[1]!ontologie[#All],COLUMN([1]!ontologie[[#All],[name in silver]]),FALSE),"")</f>
        <v/>
      </c>
      <c r="L16" s="2" t="str" cm="1">
        <f t="array" ref="L16">_xlfn.TEXTJOIN(CHAR(10), TRUE, _xlfn._xlws.FILTER([1]!ontologie[name in bronze], [1]!ontologie[hubspot_helper]=HubSpot_property_check[[#This Row],[helper]], ""))</f>
        <v/>
      </c>
      <c r="M16" s="2" t="str" cm="1">
        <f t="array" ref="M16">_xlfn.TEXTJOIN(CHAR(10), TRUE, _xlfn._xlws.FILTER([1]!ontologie[name in source], [1]!ontologie[hubspot_helper]=HubSpot_property_check[[#This Row],[helper]], ""))</f>
        <v/>
      </c>
    </row>
    <row r="17" spans="1:13" x14ac:dyDescent="0.25">
      <c r="A17" t="s">
        <v>69</v>
      </c>
      <c r="B17" t="s">
        <v>14</v>
      </c>
      <c r="C17" t="s">
        <v>70</v>
      </c>
      <c r="D17" t="s">
        <v>71</v>
      </c>
      <c r="E17" t="s">
        <v>21</v>
      </c>
      <c r="F17" t="b">
        <v>0</v>
      </c>
      <c r="G17" t="b">
        <v>0</v>
      </c>
      <c r="H17" t="s">
        <v>22</v>
      </c>
      <c r="I17" s="1">
        <v>7.6100000000000001E-2</v>
      </c>
      <c r="J17" t="b">
        <f>IF(COUNTIF([1]!ontologie[[#All],[hubspot_helper]], A17) &gt; 0, TRUE, FALSE)</f>
        <v>0</v>
      </c>
      <c r="K17" t="str" cm="1">
        <f t="array" ref="K17">IF(HubSpot_property_check[[#This Row],[is in Ontologie?]]=TRUE,VLOOKUP(HubSpot_property_check[[#This Row],[helper]],[1]!ontologie[#All],COLUMN([1]!ontologie[[#All],[name in silver]]),FALSE),"")</f>
        <v/>
      </c>
      <c r="L17" s="2" t="str" cm="1">
        <f t="array" ref="L17">_xlfn.TEXTJOIN(CHAR(10), TRUE, _xlfn._xlws.FILTER([1]!ontologie[name in bronze], [1]!ontologie[hubspot_helper]=HubSpot_property_check[[#This Row],[helper]], ""))</f>
        <v/>
      </c>
      <c r="M17" s="2" t="str" cm="1">
        <f t="array" ref="M17">_xlfn.TEXTJOIN(CHAR(10), TRUE, _xlfn._xlws.FILTER([1]!ontologie[name in source], [1]!ontologie[hubspot_helper]=HubSpot_property_check[[#This Row],[helper]], ""))</f>
        <v/>
      </c>
    </row>
    <row r="18" spans="1:13" x14ac:dyDescent="0.25">
      <c r="A18" t="s">
        <v>72</v>
      </c>
      <c r="B18" t="s">
        <v>14</v>
      </c>
      <c r="C18" t="s">
        <v>73</v>
      </c>
      <c r="D18" t="s">
        <v>73</v>
      </c>
      <c r="E18" t="s">
        <v>17</v>
      </c>
      <c r="F18" t="b">
        <v>0</v>
      </c>
      <c r="G18" t="b">
        <v>0</v>
      </c>
      <c r="H18" t="s">
        <v>22</v>
      </c>
      <c r="I18" s="1">
        <v>2.5699999999999997E-2</v>
      </c>
      <c r="J18" t="b">
        <f>IF(COUNTIF([1]!ontologie[[#All],[hubspot_helper]], A18) &gt; 0, TRUE, FALSE)</f>
        <v>0</v>
      </c>
      <c r="K18" t="str" cm="1">
        <f t="array" ref="K18">IF(HubSpot_property_check[[#This Row],[is in Ontologie?]]=TRUE,VLOOKUP(HubSpot_property_check[[#This Row],[helper]],[1]!ontologie[#All],COLUMN([1]!ontologie[[#All],[name in silver]]),FALSE),"")</f>
        <v/>
      </c>
      <c r="L18" s="2" t="str" cm="1">
        <f t="array" ref="L18">_xlfn.TEXTJOIN(CHAR(10), TRUE, _xlfn._xlws.FILTER([1]!ontologie[name in bronze], [1]!ontologie[hubspot_helper]=HubSpot_property_check[[#This Row],[helper]], ""))</f>
        <v/>
      </c>
      <c r="M18" s="2" t="str" cm="1">
        <f t="array" ref="M18">_xlfn.TEXTJOIN(CHAR(10), TRUE, _xlfn._xlws.FILTER([1]!ontologie[name in source], [1]!ontologie[hubspot_helper]=HubSpot_property_check[[#This Row],[helper]], ""))</f>
        <v/>
      </c>
    </row>
    <row r="19" spans="1:13" x14ac:dyDescent="0.25">
      <c r="A19" t="s">
        <v>74</v>
      </c>
      <c r="B19" t="s">
        <v>14</v>
      </c>
      <c r="C19" t="s">
        <v>75</v>
      </c>
      <c r="D19" t="s">
        <v>75</v>
      </c>
      <c r="E19" t="s">
        <v>23</v>
      </c>
      <c r="F19" t="b">
        <v>0</v>
      </c>
      <c r="G19" t="b">
        <v>0</v>
      </c>
      <c r="H19" t="s">
        <v>22</v>
      </c>
      <c r="I19" s="1">
        <v>2.7300000000000001E-2</v>
      </c>
      <c r="J19" t="b">
        <f>IF(COUNTIF([1]!ontologie[[#All],[hubspot_helper]], A19) &gt; 0, TRUE, FALSE)</f>
        <v>0</v>
      </c>
      <c r="K19" t="str" cm="1">
        <f t="array" ref="K19">IF(HubSpot_property_check[[#This Row],[is in Ontologie?]]=TRUE,VLOOKUP(HubSpot_property_check[[#This Row],[helper]],[1]!ontologie[#All],COLUMN([1]!ontologie[[#All],[name in silver]]),FALSE),"")</f>
        <v/>
      </c>
      <c r="L19" s="2" t="str" cm="1">
        <f t="array" ref="L19">_xlfn.TEXTJOIN(CHAR(10), TRUE, _xlfn._xlws.FILTER([1]!ontologie[name in bronze], [1]!ontologie[hubspot_helper]=HubSpot_property_check[[#This Row],[helper]], ""))</f>
        <v/>
      </c>
      <c r="M19" s="2" t="str" cm="1">
        <f t="array" ref="M19">_xlfn.TEXTJOIN(CHAR(10), TRUE, _xlfn._xlws.FILTER([1]!ontologie[name in source], [1]!ontologie[hubspot_helper]=HubSpot_property_check[[#This Row],[helper]], ""))</f>
        <v/>
      </c>
    </row>
    <row r="20" spans="1:13" x14ac:dyDescent="0.25">
      <c r="A20" t="s">
        <v>76</v>
      </c>
      <c r="B20" t="s">
        <v>14</v>
      </c>
      <c r="C20" t="s">
        <v>77</v>
      </c>
      <c r="D20" t="s">
        <v>78</v>
      </c>
      <c r="E20" t="s">
        <v>17</v>
      </c>
      <c r="F20" t="b">
        <v>0</v>
      </c>
      <c r="G20" t="b">
        <v>0</v>
      </c>
      <c r="H20" t="s">
        <v>22</v>
      </c>
      <c r="I20" s="1">
        <v>4.58E-2</v>
      </c>
      <c r="J20" t="b">
        <f>IF(COUNTIF([1]!ontologie[[#All],[hubspot_helper]], A20) &gt; 0, TRUE, FALSE)</f>
        <v>0</v>
      </c>
      <c r="K20" t="str" cm="1">
        <f t="array" ref="K20">IF(HubSpot_property_check[[#This Row],[is in Ontologie?]]=TRUE,VLOOKUP(HubSpot_property_check[[#This Row],[helper]],[1]!ontologie[#All],COLUMN([1]!ontologie[[#All],[name in silver]]),FALSE),"")</f>
        <v/>
      </c>
      <c r="L20" s="2" t="str" cm="1">
        <f t="array" ref="L20">_xlfn.TEXTJOIN(CHAR(10), TRUE, _xlfn._xlws.FILTER([1]!ontologie[name in bronze], [1]!ontologie[hubspot_helper]=HubSpot_property_check[[#This Row],[helper]], ""))</f>
        <v/>
      </c>
      <c r="M20" s="2" t="str" cm="1">
        <f t="array" ref="M20">_xlfn.TEXTJOIN(CHAR(10), TRUE, _xlfn._xlws.FILTER([1]!ontologie[name in source], [1]!ontologie[hubspot_helper]=HubSpot_property_check[[#This Row],[helper]], ""))</f>
        <v/>
      </c>
    </row>
    <row r="21" spans="1:13" x14ac:dyDescent="0.25">
      <c r="A21" t="s">
        <v>79</v>
      </c>
      <c r="B21" t="s">
        <v>14</v>
      </c>
      <c r="C21" t="s">
        <v>80</v>
      </c>
      <c r="D21" t="s">
        <v>81</v>
      </c>
      <c r="E21" t="s">
        <v>17</v>
      </c>
      <c r="F21" t="b">
        <v>0</v>
      </c>
      <c r="G21" t="b">
        <v>0</v>
      </c>
      <c r="H21" t="s">
        <v>18</v>
      </c>
      <c r="I21" s="1">
        <v>0.54069999999999996</v>
      </c>
      <c r="J21" t="b">
        <f>IF(COUNTIF([1]!ontologie[[#All],[hubspot_helper]], A21) &gt; 0, TRUE, FALSE)</f>
        <v>0</v>
      </c>
      <c r="K21" t="str" cm="1">
        <f t="array" ref="K21">IF(HubSpot_property_check[[#This Row],[is in Ontologie?]]=TRUE,VLOOKUP(HubSpot_property_check[[#This Row],[helper]],[1]!ontologie[#All],COLUMN([1]!ontologie[[#All],[name in silver]]),FALSE),"")</f>
        <v/>
      </c>
      <c r="L21" s="2" t="str" cm="1">
        <f t="array" ref="L21">_xlfn.TEXTJOIN(CHAR(10), TRUE, _xlfn._xlws.FILTER([1]!ontologie[name in bronze], [1]!ontologie[hubspot_helper]=HubSpot_property_check[[#This Row],[helper]], ""))</f>
        <v/>
      </c>
      <c r="M21" s="2" t="str" cm="1">
        <f t="array" ref="M21">_xlfn.TEXTJOIN(CHAR(10), TRUE, _xlfn._xlws.FILTER([1]!ontologie[name in source], [1]!ontologie[hubspot_helper]=HubSpot_property_check[[#This Row],[helper]], ""))</f>
        <v/>
      </c>
    </row>
    <row r="22" spans="1:13" x14ac:dyDescent="0.25">
      <c r="A22" t="s">
        <v>83</v>
      </c>
      <c r="B22" t="s">
        <v>82</v>
      </c>
      <c r="C22" t="s">
        <v>19</v>
      </c>
      <c r="D22" t="s">
        <v>20</v>
      </c>
      <c r="E22" t="s">
        <v>17</v>
      </c>
      <c r="F22" t="b">
        <v>0</v>
      </c>
      <c r="G22" t="b">
        <v>0</v>
      </c>
      <c r="H22" t="s">
        <v>18</v>
      </c>
      <c r="I22" s="1">
        <v>7.3000000000000001E-3</v>
      </c>
      <c r="J22" t="b">
        <f>IF(COUNTIF([1]!ontologie[[#All],[hubspot_helper]], A22) &gt; 0, TRUE, FALSE)</f>
        <v>0</v>
      </c>
      <c r="K22" t="str" cm="1">
        <f t="array" ref="K22">IF(HubSpot_property_check[[#This Row],[is in Ontologie?]]=TRUE,VLOOKUP(HubSpot_property_check[[#This Row],[helper]],[1]!ontologie[#All],COLUMN([1]!ontologie[[#All],[name in silver]]),FALSE),"")</f>
        <v/>
      </c>
      <c r="L22" s="2" t="str" cm="1">
        <f t="array" ref="L22">_xlfn.TEXTJOIN(CHAR(10), TRUE, _xlfn._xlws.FILTER([1]!ontologie[name in bronze], [1]!ontologie[hubspot_helper]=HubSpot_property_check[[#This Row],[helper]], ""))</f>
        <v/>
      </c>
      <c r="M22" s="2" t="str" cm="1">
        <f t="array" ref="M22">_xlfn.TEXTJOIN(CHAR(10), TRUE, _xlfn._xlws.FILTER([1]!ontologie[name in source], [1]!ontologie[hubspot_helper]=HubSpot_property_check[[#This Row],[helper]], ""))</f>
        <v/>
      </c>
    </row>
    <row r="23" spans="1:13" x14ac:dyDescent="0.25">
      <c r="A23" t="s">
        <v>84</v>
      </c>
      <c r="B23" t="s">
        <v>82</v>
      </c>
      <c r="C23" t="s">
        <v>85</v>
      </c>
      <c r="D23" t="s">
        <v>86</v>
      </c>
      <c r="E23" t="s">
        <v>23</v>
      </c>
      <c r="F23" t="b">
        <v>0</v>
      </c>
      <c r="G23" t="b">
        <v>0</v>
      </c>
      <c r="H23" t="s">
        <v>22</v>
      </c>
      <c r="I23" s="1">
        <v>1E-3</v>
      </c>
      <c r="J23" t="b">
        <f>IF(COUNTIF([1]!ontologie[[#All],[hubspot_helper]], A23) &gt; 0, TRUE, FALSE)</f>
        <v>0</v>
      </c>
      <c r="K23" t="str" cm="1">
        <f t="array" ref="K23">IF(HubSpot_property_check[[#This Row],[is in Ontologie?]]=TRUE,VLOOKUP(HubSpot_property_check[[#This Row],[helper]],[1]!ontologie[#All],COLUMN([1]!ontologie[[#All],[name in silver]]),FALSE),"")</f>
        <v/>
      </c>
      <c r="L23" s="2" t="str" cm="1">
        <f t="array" ref="L23">_xlfn.TEXTJOIN(CHAR(10), TRUE, _xlfn._xlws.FILTER([1]!ontologie[name in bronze], [1]!ontologie[hubspot_helper]=HubSpot_property_check[[#This Row],[helper]], ""))</f>
        <v/>
      </c>
      <c r="M23" s="2" t="str" cm="1">
        <f t="array" ref="M23">_xlfn.TEXTJOIN(CHAR(10), TRUE, _xlfn._xlws.FILTER([1]!ontologie[name in source], [1]!ontologie[hubspot_helper]=HubSpot_property_check[[#This Row],[helper]], ""))</f>
        <v/>
      </c>
    </row>
    <row r="24" spans="1:13" x14ac:dyDescent="0.25">
      <c r="A24" t="s">
        <v>87</v>
      </c>
      <c r="B24" t="s">
        <v>82</v>
      </c>
      <c r="C24" t="s">
        <v>30</v>
      </c>
      <c r="D24" t="s">
        <v>31</v>
      </c>
      <c r="E24" t="s">
        <v>17</v>
      </c>
      <c r="F24" t="b">
        <v>0</v>
      </c>
      <c r="G24" t="b">
        <v>0</v>
      </c>
      <c r="H24" t="s">
        <v>22</v>
      </c>
      <c r="I24" s="1">
        <v>0.1913</v>
      </c>
      <c r="J24" t="b">
        <f>IF(COUNTIF([1]!ontologie[[#All],[hubspot_helper]], A24) &gt; 0, TRUE, FALSE)</f>
        <v>0</v>
      </c>
      <c r="K24" t="str" cm="1">
        <f t="array" ref="K24">IF(HubSpot_property_check[[#This Row],[is in Ontologie?]]=TRUE,VLOOKUP(HubSpot_property_check[[#This Row],[helper]],[1]!ontologie[#All],COLUMN([1]!ontologie[[#All],[name in silver]]),FALSE),"")</f>
        <v/>
      </c>
      <c r="L24" s="2" t="str" cm="1">
        <f t="array" ref="L24">_xlfn.TEXTJOIN(CHAR(10), TRUE, _xlfn._xlws.FILTER([1]!ontologie[name in bronze], [1]!ontologie[hubspot_helper]=HubSpot_property_check[[#This Row],[helper]], ""))</f>
        <v/>
      </c>
      <c r="M24" s="2" t="str" cm="1">
        <f t="array" ref="M24">_xlfn.TEXTJOIN(CHAR(10), TRUE, _xlfn._xlws.FILTER([1]!ontologie[name in source], [1]!ontologie[hubspot_helper]=HubSpot_property_check[[#This Row],[helper]], ""))</f>
        <v/>
      </c>
    </row>
    <row r="25" spans="1:13" x14ac:dyDescent="0.25">
      <c r="A25" t="s">
        <v>88</v>
      </c>
      <c r="B25" t="s">
        <v>82</v>
      </c>
      <c r="C25" t="s">
        <v>89</v>
      </c>
      <c r="D25" t="s">
        <v>89</v>
      </c>
      <c r="E25" t="s">
        <v>17</v>
      </c>
      <c r="F25" t="b">
        <v>0</v>
      </c>
      <c r="G25" t="b">
        <v>0</v>
      </c>
      <c r="H25" t="s">
        <v>22</v>
      </c>
      <c r="I25" s="1">
        <v>0</v>
      </c>
      <c r="J25" t="b">
        <f>IF(COUNTIF([1]!ontologie[[#All],[hubspot_helper]], A25) &gt; 0, TRUE, FALSE)</f>
        <v>0</v>
      </c>
      <c r="K25" t="str" cm="1">
        <f t="array" ref="K25">IF(HubSpot_property_check[[#This Row],[is in Ontologie?]]=TRUE,VLOOKUP(HubSpot_property_check[[#This Row],[helper]],[1]!ontologie[#All],COLUMN([1]!ontologie[[#All],[name in silver]]),FALSE),"")</f>
        <v/>
      </c>
      <c r="L25" s="2" t="str" cm="1">
        <f t="array" ref="L25">_xlfn.TEXTJOIN(CHAR(10), TRUE, _xlfn._xlws.FILTER([1]!ontologie[name in bronze], [1]!ontologie[hubspot_helper]=HubSpot_property_check[[#This Row],[helper]], ""))</f>
        <v/>
      </c>
      <c r="M25" s="2" t="str" cm="1">
        <f t="array" ref="M25">_xlfn.TEXTJOIN(CHAR(10), TRUE, _xlfn._xlws.FILTER([1]!ontologie[name in source], [1]!ontologie[hubspot_helper]=HubSpot_property_check[[#This Row],[helper]], ""))</f>
        <v/>
      </c>
    </row>
    <row r="26" spans="1:13" x14ac:dyDescent="0.25">
      <c r="A26" t="s">
        <v>90</v>
      </c>
      <c r="B26" t="s">
        <v>82</v>
      </c>
      <c r="C26" t="s">
        <v>91</v>
      </c>
      <c r="D26" t="s">
        <v>91</v>
      </c>
      <c r="E26" t="s">
        <v>59</v>
      </c>
      <c r="F26" t="b">
        <v>0</v>
      </c>
      <c r="G26" t="b">
        <v>0</v>
      </c>
      <c r="H26" t="s">
        <v>22</v>
      </c>
      <c r="I26" s="1">
        <v>0.1288</v>
      </c>
      <c r="J26" t="b">
        <f>IF(COUNTIF([1]!ontologie[[#All],[hubspot_helper]], A26) &gt; 0, TRUE, FALSE)</f>
        <v>0</v>
      </c>
      <c r="K26" t="str" cm="1">
        <f t="array" ref="K26">IF(HubSpot_property_check[[#This Row],[is in Ontologie?]]=TRUE,VLOOKUP(HubSpot_property_check[[#This Row],[helper]],[1]!ontologie[#All],COLUMN([1]!ontologie[[#All],[name in silver]]),FALSE),"")</f>
        <v/>
      </c>
      <c r="L26" s="2" t="str" cm="1">
        <f t="array" ref="L26">_xlfn.TEXTJOIN(CHAR(10), TRUE, _xlfn._xlws.FILTER([1]!ontologie[name in bronze], [1]!ontologie[hubspot_helper]=HubSpot_property_check[[#This Row],[helper]], ""))</f>
        <v/>
      </c>
      <c r="M26" s="2" t="str" cm="1">
        <f t="array" ref="M26">_xlfn.TEXTJOIN(CHAR(10), TRUE, _xlfn._xlws.FILTER([1]!ontologie[name in source], [1]!ontologie[hubspot_helper]=HubSpot_property_check[[#This Row],[helper]], ""))</f>
        <v/>
      </c>
    </row>
    <row r="27" spans="1:13" x14ac:dyDescent="0.25">
      <c r="A27" t="s">
        <v>92</v>
      </c>
      <c r="B27" t="s">
        <v>82</v>
      </c>
      <c r="C27" t="s">
        <v>93</v>
      </c>
      <c r="D27" t="s">
        <v>94</v>
      </c>
      <c r="E27" t="s">
        <v>17</v>
      </c>
      <c r="F27" t="b">
        <v>0</v>
      </c>
      <c r="G27" t="b">
        <v>0</v>
      </c>
      <c r="H27" t="s">
        <v>22</v>
      </c>
      <c r="I27" s="1">
        <v>0</v>
      </c>
      <c r="J27" t="b">
        <f>IF(COUNTIF([1]!ontologie[[#All],[hubspot_helper]], A27) &gt; 0, TRUE, FALSE)</f>
        <v>0</v>
      </c>
      <c r="K27" t="str" cm="1">
        <f t="array" ref="K27">IF(HubSpot_property_check[[#This Row],[is in Ontologie?]]=TRUE,VLOOKUP(HubSpot_property_check[[#This Row],[helper]],[1]!ontologie[#All],COLUMN([1]!ontologie[[#All],[name in silver]]),FALSE),"")</f>
        <v/>
      </c>
      <c r="L27" s="2" t="str" cm="1">
        <f t="array" ref="L27">_xlfn.TEXTJOIN(CHAR(10), TRUE, _xlfn._xlws.FILTER([1]!ontologie[name in bronze], [1]!ontologie[hubspot_helper]=HubSpot_property_check[[#This Row],[helper]], ""))</f>
        <v/>
      </c>
      <c r="M27" s="2" t="str" cm="1">
        <f t="array" ref="M27">_xlfn.TEXTJOIN(CHAR(10), TRUE, _xlfn._xlws.FILTER([1]!ontologie[name in source], [1]!ontologie[hubspot_helper]=HubSpot_property_check[[#This Row],[helper]], ""))</f>
        <v/>
      </c>
    </row>
    <row r="28" spans="1:13" x14ac:dyDescent="0.25">
      <c r="A28" t="s">
        <v>95</v>
      </c>
      <c r="B28" t="s">
        <v>82</v>
      </c>
      <c r="C28" t="s">
        <v>96</v>
      </c>
      <c r="D28" t="s">
        <v>97</v>
      </c>
      <c r="E28" t="s">
        <v>17</v>
      </c>
      <c r="F28" t="b">
        <v>0</v>
      </c>
      <c r="G28" t="b">
        <v>0</v>
      </c>
      <c r="H28" t="s">
        <v>22</v>
      </c>
      <c r="I28" s="1">
        <v>0.18280000000000002</v>
      </c>
      <c r="J28" t="b">
        <f>IF(COUNTIF([1]!ontologie[[#All],[hubspot_helper]], A28) &gt; 0, TRUE, FALSE)</f>
        <v>0</v>
      </c>
      <c r="K28" t="str" cm="1">
        <f t="array" ref="K28">IF(HubSpot_property_check[[#This Row],[is in Ontologie?]]=TRUE,VLOOKUP(HubSpot_property_check[[#This Row],[helper]],[1]!ontologie[#All],COLUMN([1]!ontologie[[#All],[name in silver]]),FALSE),"")</f>
        <v/>
      </c>
      <c r="L28" s="2" t="str" cm="1">
        <f t="array" ref="L28">_xlfn.TEXTJOIN(CHAR(10), TRUE, _xlfn._xlws.FILTER([1]!ontologie[name in bronze], [1]!ontologie[hubspot_helper]=HubSpot_property_check[[#This Row],[helper]], ""))</f>
        <v/>
      </c>
      <c r="M28" s="2" t="str" cm="1">
        <f t="array" ref="M28">_xlfn.TEXTJOIN(CHAR(10), TRUE, _xlfn._xlws.FILTER([1]!ontologie[name in source], [1]!ontologie[hubspot_helper]=HubSpot_property_check[[#This Row],[helper]], ""))</f>
        <v/>
      </c>
    </row>
    <row r="29" spans="1:13" x14ac:dyDescent="0.25">
      <c r="A29" t="s">
        <v>98</v>
      </c>
      <c r="B29" t="s">
        <v>82</v>
      </c>
      <c r="C29" t="s">
        <v>99</v>
      </c>
      <c r="D29" t="s">
        <v>100</v>
      </c>
      <c r="E29" t="s">
        <v>17</v>
      </c>
      <c r="F29" t="b">
        <v>0</v>
      </c>
      <c r="G29" t="b">
        <v>0</v>
      </c>
      <c r="H29" t="s">
        <v>22</v>
      </c>
      <c r="I29" s="1">
        <v>0.1042</v>
      </c>
      <c r="J29" t="b">
        <f>IF(COUNTIF([1]!ontologie[[#All],[hubspot_helper]], A29) &gt; 0, TRUE, FALSE)</f>
        <v>0</v>
      </c>
      <c r="K29" t="str" cm="1">
        <f t="array" ref="K29">IF(HubSpot_property_check[[#This Row],[is in Ontologie?]]=TRUE,VLOOKUP(HubSpot_property_check[[#This Row],[helper]],[1]!ontologie[#All],COLUMN([1]!ontologie[[#All],[name in silver]]),FALSE),"")</f>
        <v/>
      </c>
      <c r="L29" s="2" t="str" cm="1">
        <f t="array" ref="L29">_xlfn.TEXTJOIN(CHAR(10), TRUE, _xlfn._xlws.FILTER([1]!ontologie[name in bronze], [1]!ontologie[hubspot_helper]=HubSpot_property_check[[#This Row],[helper]], ""))</f>
        <v/>
      </c>
      <c r="M29" s="2" t="str" cm="1">
        <f t="array" ref="M29">_xlfn.TEXTJOIN(CHAR(10), TRUE, _xlfn._xlws.FILTER([1]!ontologie[name in source], [1]!ontologie[hubspot_helper]=HubSpot_property_check[[#This Row],[helper]], ""))</f>
        <v/>
      </c>
    </row>
    <row r="30" spans="1:13" x14ac:dyDescent="0.25">
      <c r="A30" t="s">
        <v>101</v>
      </c>
      <c r="B30" t="s">
        <v>82</v>
      </c>
      <c r="C30" t="s">
        <v>102</v>
      </c>
      <c r="D30" t="s">
        <v>102</v>
      </c>
      <c r="E30" t="s">
        <v>17</v>
      </c>
      <c r="F30" t="b">
        <v>0</v>
      </c>
      <c r="G30" t="b">
        <v>0</v>
      </c>
      <c r="H30" t="s">
        <v>22</v>
      </c>
      <c r="I30" s="1">
        <v>1.2800000000000001E-2</v>
      </c>
      <c r="J30" t="b">
        <f>IF(COUNTIF([1]!ontologie[[#All],[hubspot_helper]], A30) &gt; 0, TRUE, FALSE)</f>
        <v>0</v>
      </c>
      <c r="K30" t="str" cm="1">
        <f t="array" ref="K30">IF(HubSpot_property_check[[#This Row],[is in Ontologie?]]=TRUE,VLOOKUP(HubSpot_property_check[[#This Row],[helper]],[1]!ontologie[#All],COLUMN([1]!ontologie[[#All],[name in silver]]),FALSE),"")</f>
        <v/>
      </c>
      <c r="L30" s="2" t="str" cm="1">
        <f t="array" ref="L30">_xlfn.TEXTJOIN(CHAR(10), TRUE, _xlfn._xlws.FILTER([1]!ontologie[name in bronze], [1]!ontologie[hubspot_helper]=HubSpot_property_check[[#This Row],[helper]], ""))</f>
        <v/>
      </c>
      <c r="M30" s="2" t="str" cm="1">
        <f t="array" ref="M30">_xlfn.TEXTJOIN(CHAR(10), TRUE, _xlfn._xlws.FILTER([1]!ontologie[name in source], [1]!ontologie[hubspot_helper]=HubSpot_property_check[[#This Row],[helper]], ""))</f>
        <v/>
      </c>
    </row>
    <row r="31" spans="1:13" x14ac:dyDescent="0.25">
      <c r="A31" t="s">
        <v>103</v>
      </c>
      <c r="B31" t="s">
        <v>82</v>
      </c>
      <c r="C31" t="s">
        <v>104</v>
      </c>
      <c r="D31" t="s">
        <v>104</v>
      </c>
      <c r="E31" t="s">
        <v>17</v>
      </c>
      <c r="F31" t="b">
        <v>0</v>
      </c>
      <c r="G31" t="b">
        <v>0</v>
      </c>
      <c r="H31" t="s">
        <v>22</v>
      </c>
      <c r="I31" s="1">
        <v>0</v>
      </c>
      <c r="J31" t="b">
        <f>IF(COUNTIF([1]!ontologie[[#All],[hubspot_helper]], A31) &gt; 0, TRUE, FALSE)</f>
        <v>0</v>
      </c>
      <c r="K31" t="str" cm="1">
        <f t="array" ref="K31">IF(HubSpot_property_check[[#This Row],[is in Ontologie?]]=TRUE,VLOOKUP(HubSpot_property_check[[#This Row],[helper]],[1]!ontologie[#All],COLUMN([1]!ontologie[[#All],[name in silver]]),FALSE),"")</f>
        <v/>
      </c>
      <c r="L31" s="2" t="str" cm="1">
        <f t="array" ref="L31">_xlfn.TEXTJOIN(CHAR(10), TRUE, _xlfn._xlws.FILTER([1]!ontologie[name in bronze], [1]!ontologie[hubspot_helper]=HubSpot_property_check[[#This Row],[helper]], ""))</f>
        <v/>
      </c>
      <c r="M31" s="2" t="str" cm="1">
        <f t="array" ref="M31">_xlfn.TEXTJOIN(CHAR(10), TRUE, _xlfn._xlws.FILTER([1]!ontologie[name in source], [1]!ontologie[hubspot_helper]=HubSpot_property_check[[#This Row],[helper]], ""))</f>
        <v/>
      </c>
    </row>
    <row r="32" spans="1:13" x14ac:dyDescent="0.25">
      <c r="A32" t="s">
        <v>105</v>
      </c>
      <c r="B32" t="s">
        <v>82</v>
      </c>
      <c r="C32" t="s">
        <v>106</v>
      </c>
      <c r="D32" t="s">
        <v>106</v>
      </c>
      <c r="E32" t="s">
        <v>59</v>
      </c>
      <c r="F32" t="b">
        <v>0</v>
      </c>
      <c r="G32" t="b">
        <v>0</v>
      </c>
      <c r="H32" t="s">
        <v>22</v>
      </c>
      <c r="I32" s="1">
        <v>0.1157</v>
      </c>
      <c r="J32" t="b">
        <f>IF(COUNTIF([1]!ontologie[[#All],[hubspot_helper]], A32) &gt; 0, TRUE, FALSE)</f>
        <v>0</v>
      </c>
      <c r="K32" t="str" cm="1">
        <f t="array" ref="K32">IF(HubSpot_property_check[[#This Row],[is in Ontologie?]]=TRUE,VLOOKUP(HubSpot_property_check[[#This Row],[helper]],[1]!ontologie[#All],COLUMN([1]!ontologie[[#All],[name in silver]]),FALSE),"")</f>
        <v/>
      </c>
      <c r="L32" s="2" t="str" cm="1">
        <f t="array" ref="L32">_xlfn.TEXTJOIN(CHAR(10), TRUE, _xlfn._xlws.FILTER([1]!ontologie[name in bronze], [1]!ontologie[hubspot_helper]=HubSpot_property_check[[#This Row],[helper]], ""))</f>
        <v/>
      </c>
      <c r="M32" s="2" t="str" cm="1">
        <f t="array" ref="M32">_xlfn.TEXTJOIN(CHAR(10), TRUE, _xlfn._xlws.FILTER([1]!ontologie[name in source], [1]!ontologie[hubspot_helper]=HubSpot_property_check[[#This Row],[helper]], ""))</f>
        <v/>
      </c>
    </row>
    <row r="33" spans="1:13" x14ac:dyDescent="0.25">
      <c r="A33" t="s">
        <v>107</v>
      </c>
      <c r="B33" t="s">
        <v>82</v>
      </c>
      <c r="C33" t="s">
        <v>108</v>
      </c>
      <c r="D33" t="s">
        <v>109</v>
      </c>
      <c r="E33" t="s">
        <v>17</v>
      </c>
      <c r="F33" t="b">
        <v>0</v>
      </c>
      <c r="G33" t="b">
        <v>0</v>
      </c>
      <c r="H33" t="s">
        <v>22</v>
      </c>
      <c r="I33" s="1">
        <v>1E-4</v>
      </c>
      <c r="J33" t="b">
        <f>IF(COUNTIF([1]!ontologie[[#All],[hubspot_helper]], A33) &gt; 0, TRUE, FALSE)</f>
        <v>0</v>
      </c>
      <c r="K33" t="str" cm="1">
        <f t="array" ref="K33">IF(HubSpot_property_check[[#This Row],[is in Ontologie?]]=TRUE,VLOOKUP(HubSpot_property_check[[#This Row],[helper]],[1]!ontologie[#All],COLUMN([1]!ontologie[[#All],[name in silver]]),FALSE),"")</f>
        <v/>
      </c>
      <c r="L33" s="2" t="str" cm="1">
        <f t="array" ref="L33">_xlfn.TEXTJOIN(CHAR(10), TRUE, _xlfn._xlws.FILTER([1]!ontologie[name in bronze], [1]!ontologie[hubspot_helper]=HubSpot_property_check[[#This Row],[helper]], ""))</f>
        <v/>
      </c>
      <c r="M33" s="2" t="str" cm="1">
        <f t="array" ref="M33">_xlfn.TEXTJOIN(CHAR(10), TRUE, _xlfn._xlws.FILTER([1]!ontologie[name in source], [1]!ontologie[hubspot_helper]=HubSpot_property_check[[#This Row],[helper]], ""))</f>
        <v/>
      </c>
    </row>
    <row r="34" spans="1:13" x14ac:dyDescent="0.25">
      <c r="A34" t="s">
        <v>110</v>
      </c>
      <c r="B34" t="s">
        <v>82</v>
      </c>
      <c r="C34" t="s">
        <v>111</v>
      </c>
      <c r="D34" t="s">
        <v>112</v>
      </c>
      <c r="E34" t="s">
        <v>21</v>
      </c>
      <c r="F34" t="b">
        <v>0</v>
      </c>
      <c r="G34" t="b">
        <v>0</v>
      </c>
      <c r="H34" t="s">
        <v>22</v>
      </c>
      <c r="I34" s="1">
        <v>0.21440000000000001</v>
      </c>
      <c r="J34" t="b">
        <f>IF(COUNTIF([1]!ontologie[[#All],[hubspot_helper]], A34) &gt; 0, TRUE, FALSE)</f>
        <v>0</v>
      </c>
      <c r="K34" t="str" cm="1">
        <f t="array" ref="K34">IF(HubSpot_property_check[[#This Row],[is in Ontologie?]]=TRUE,VLOOKUP(HubSpot_property_check[[#This Row],[helper]],[1]!ontologie[#All],COLUMN([1]!ontologie[[#All],[name in silver]]),FALSE),"")</f>
        <v/>
      </c>
      <c r="L34" s="2" t="str" cm="1">
        <f t="array" ref="L34">_xlfn.TEXTJOIN(CHAR(10), TRUE, _xlfn._xlws.FILTER([1]!ontologie[name in bronze], [1]!ontologie[hubspot_helper]=HubSpot_property_check[[#This Row],[helper]], ""))</f>
        <v/>
      </c>
      <c r="M34" s="2" t="str" cm="1">
        <f t="array" ref="M34">_xlfn.TEXTJOIN(CHAR(10), TRUE, _xlfn._xlws.FILTER([1]!ontologie[name in source], [1]!ontologie[hubspot_helper]=HubSpot_property_check[[#This Row],[helper]], ""))</f>
        <v/>
      </c>
    </row>
    <row r="35" spans="1:13" x14ac:dyDescent="0.25">
      <c r="A35" t="s">
        <v>113</v>
      </c>
      <c r="B35" t="s">
        <v>82</v>
      </c>
      <c r="C35" t="s">
        <v>114</v>
      </c>
      <c r="D35" t="s">
        <v>114</v>
      </c>
      <c r="E35" t="s">
        <v>17</v>
      </c>
      <c r="F35" t="b">
        <v>0</v>
      </c>
      <c r="G35" t="b">
        <v>0</v>
      </c>
      <c r="H35" t="s">
        <v>22</v>
      </c>
      <c r="I35" s="1">
        <v>0</v>
      </c>
      <c r="J35" t="b">
        <f>IF(COUNTIF([1]!ontologie[[#All],[hubspot_helper]], A35) &gt; 0, TRUE, FALSE)</f>
        <v>0</v>
      </c>
      <c r="K35" t="str" cm="1">
        <f t="array" ref="K35">IF(HubSpot_property_check[[#This Row],[is in Ontologie?]]=TRUE,VLOOKUP(HubSpot_property_check[[#This Row],[helper]],[1]!ontologie[#All],COLUMN([1]!ontologie[[#All],[name in silver]]),FALSE),"")</f>
        <v/>
      </c>
      <c r="L35" s="2" t="str" cm="1">
        <f t="array" ref="L35">_xlfn.TEXTJOIN(CHAR(10), TRUE, _xlfn._xlws.FILTER([1]!ontologie[name in bronze], [1]!ontologie[hubspot_helper]=HubSpot_property_check[[#This Row],[helper]], ""))</f>
        <v/>
      </c>
      <c r="M35" s="2" t="str" cm="1">
        <f t="array" ref="M35">_xlfn.TEXTJOIN(CHAR(10), TRUE, _xlfn._xlws.FILTER([1]!ontologie[name in source], [1]!ontologie[hubspot_helper]=HubSpot_property_check[[#This Row],[helper]], ""))</f>
        <v/>
      </c>
    </row>
    <row r="36" spans="1:13" x14ac:dyDescent="0.25">
      <c r="A36" t="s">
        <v>116</v>
      </c>
      <c r="B36" t="s">
        <v>115</v>
      </c>
      <c r="C36" t="s">
        <v>117</v>
      </c>
      <c r="D36" t="s">
        <v>118</v>
      </c>
      <c r="E36" t="s">
        <v>17</v>
      </c>
      <c r="F36" t="b">
        <v>1</v>
      </c>
      <c r="G36" t="b">
        <v>1</v>
      </c>
      <c r="H36" t="s">
        <v>22</v>
      </c>
      <c r="I36" s="1">
        <v>0.33539999999999998</v>
      </c>
      <c r="J36" t="b">
        <f>IF(COUNTIF([1]!ontologie[[#All],[hubspot_helper]], A36) &gt; 0, TRUE, FALSE)</f>
        <v>0</v>
      </c>
      <c r="K36" t="str" cm="1">
        <f t="array" ref="K36">IF(HubSpot_property_check[[#This Row],[is in Ontologie?]]=TRUE,VLOOKUP(HubSpot_property_check[[#This Row],[helper]],[1]!ontologie[#All],COLUMN([1]!ontologie[[#All],[name in silver]]),FALSE),"")</f>
        <v/>
      </c>
      <c r="L36" s="2" t="str" cm="1">
        <f t="array" ref="L36">_xlfn.TEXTJOIN(CHAR(10), TRUE, _xlfn._xlws.FILTER([1]!ontologie[name in bronze], [1]!ontologie[hubspot_helper]=HubSpot_property_check[[#This Row],[helper]], ""))</f>
        <v/>
      </c>
      <c r="M36" s="2" t="str" cm="1">
        <f t="array" ref="M36">_xlfn.TEXTJOIN(CHAR(10), TRUE, _xlfn._xlws.FILTER([1]!ontologie[name in source], [1]!ontologie[hubspot_helper]=HubSpot_property_check[[#This Row],[helper]], ""))</f>
        <v/>
      </c>
    </row>
    <row r="37" spans="1:13" x14ac:dyDescent="0.25">
      <c r="A37" t="s">
        <v>119</v>
      </c>
      <c r="B37" t="s">
        <v>115</v>
      </c>
      <c r="C37" t="s">
        <v>120</v>
      </c>
      <c r="D37" t="s">
        <v>121</v>
      </c>
      <c r="E37" t="s">
        <v>23</v>
      </c>
      <c r="F37" t="b">
        <v>1</v>
      </c>
      <c r="G37" t="b">
        <v>1</v>
      </c>
      <c r="H37" t="s">
        <v>22</v>
      </c>
      <c r="I37" s="1">
        <v>0.2591</v>
      </c>
      <c r="J37" t="b">
        <f>IF(COUNTIF([1]!ontologie[[#All],[hubspot_helper]], A37) &gt; 0, TRUE, FALSE)</f>
        <v>0</v>
      </c>
      <c r="K37" t="str" cm="1">
        <f t="array" ref="K37">IF(HubSpot_property_check[[#This Row],[is in Ontologie?]]=TRUE,VLOOKUP(HubSpot_property_check[[#This Row],[helper]],[1]!ontologie[#All],COLUMN([1]!ontologie[[#All],[name in silver]]),FALSE),"")</f>
        <v/>
      </c>
      <c r="L37" s="2" t="str" cm="1">
        <f t="array" ref="L37">_xlfn.TEXTJOIN(CHAR(10), TRUE, _xlfn._xlws.FILTER([1]!ontologie[name in bronze], [1]!ontologie[hubspot_helper]=HubSpot_property_check[[#This Row],[helper]], ""))</f>
        <v/>
      </c>
      <c r="M37" s="2" t="str" cm="1">
        <f t="array" ref="M37">_xlfn.TEXTJOIN(CHAR(10), TRUE, _xlfn._xlws.FILTER([1]!ontologie[name in source], [1]!ontologie[hubspot_helper]=HubSpot_property_check[[#This Row],[helper]], ""))</f>
        <v/>
      </c>
    </row>
    <row r="38" spans="1:13" x14ac:dyDescent="0.25">
      <c r="A38" t="s">
        <v>122</v>
      </c>
      <c r="B38" t="s">
        <v>115</v>
      </c>
      <c r="C38" t="s">
        <v>123</v>
      </c>
      <c r="D38" t="s">
        <v>124</v>
      </c>
      <c r="E38" t="s">
        <v>59</v>
      </c>
      <c r="F38" t="b">
        <v>0</v>
      </c>
      <c r="G38" t="b">
        <v>0</v>
      </c>
      <c r="H38" t="s">
        <v>22</v>
      </c>
      <c r="I38" s="1">
        <v>0.19940000000000002</v>
      </c>
      <c r="J38" t="b">
        <f>IF(COUNTIF([1]!ontologie[[#All],[hubspot_helper]], A38) &gt; 0, TRUE, FALSE)</f>
        <v>0</v>
      </c>
      <c r="K38" t="str" cm="1">
        <f t="array" ref="K38">IF(HubSpot_property_check[[#This Row],[is in Ontologie?]]=TRUE,VLOOKUP(HubSpot_property_check[[#This Row],[helper]],[1]!ontologie[#All],COLUMN([1]!ontologie[[#All],[name in silver]]),FALSE),"")</f>
        <v/>
      </c>
      <c r="L38" s="2" t="str" cm="1">
        <f t="array" ref="L38">_xlfn.TEXTJOIN(CHAR(10), TRUE, _xlfn._xlws.FILTER([1]!ontologie[name in bronze], [1]!ontologie[hubspot_helper]=HubSpot_property_check[[#This Row],[helper]], ""))</f>
        <v/>
      </c>
      <c r="M38" s="2" t="str" cm="1">
        <f t="array" ref="M38">_xlfn.TEXTJOIN(CHAR(10), TRUE, _xlfn._xlws.FILTER([1]!ontologie[name in source], [1]!ontologie[hubspot_helper]=HubSpot_property_check[[#This Row],[helper]], ""))</f>
        <v/>
      </c>
    </row>
    <row r="39" spans="1:13" x14ac:dyDescent="0.25">
      <c r="A39" t="s">
        <v>125</v>
      </c>
      <c r="B39" t="s">
        <v>115</v>
      </c>
      <c r="C39" t="s">
        <v>126</v>
      </c>
      <c r="D39" t="s">
        <v>127</v>
      </c>
      <c r="E39" t="s">
        <v>23</v>
      </c>
      <c r="F39" t="b">
        <v>0</v>
      </c>
      <c r="G39" t="b">
        <v>0</v>
      </c>
      <c r="H39" t="s">
        <v>22</v>
      </c>
      <c r="I39" s="1">
        <v>2.3399999999999997E-2</v>
      </c>
      <c r="J39" t="b">
        <f>IF(COUNTIF([1]!ontologie[[#All],[hubspot_helper]], A39) &gt; 0, TRUE, FALSE)</f>
        <v>0</v>
      </c>
      <c r="K39" t="str" cm="1">
        <f t="array" ref="K39">IF(HubSpot_property_check[[#This Row],[is in Ontologie?]]=TRUE,VLOOKUP(HubSpot_property_check[[#This Row],[helper]],[1]!ontologie[#All],COLUMN([1]!ontologie[[#All],[name in silver]]),FALSE),"")</f>
        <v/>
      </c>
      <c r="L39" s="2" t="str" cm="1">
        <f t="array" ref="L39">_xlfn.TEXTJOIN(CHAR(10), TRUE, _xlfn._xlws.FILTER([1]!ontologie[name in bronze], [1]!ontologie[hubspot_helper]=HubSpot_property_check[[#This Row],[helper]], ""))</f>
        <v/>
      </c>
      <c r="M39" s="2" t="str" cm="1">
        <f t="array" ref="M39">_xlfn.TEXTJOIN(CHAR(10), TRUE, _xlfn._xlws.FILTER([1]!ontologie[name in source], [1]!ontologie[hubspot_helper]=HubSpot_property_check[[#This Row],[helper]], ""))</f>
        <v/>
      </c>
    </row>
    <row r="40" spans="1:13" x14ac:dyDescent="0.25">
      <c r="A40" t="s">
        <v>128</v>
      </c>
      <c r="B40" t="s">
        <v>115</v>
      </c>
      <c r="C40" t="s">
        <v>129</v>
      </c>
      <c r="D40" t="s">
        <v>130</v>
      </c>
      <c r="E40" t="s">
        <v>59</v>
      </c>
      <c r="F40" t="b">
        <v>0</v>
      </c>
      <c r="G40" t="b">
        <v>0</v>
      </c>
      <c r="H40" t="s">
        <v>22</v>
      </c>
      <c r="I40" s="1">
        <v>2.3399999999999997E-2</v>
      </c>
      <c r="J40" t="b">
        <f>IF(COUNTIF([1]!ontologie[[#All],[hubspot_helper]], A40) &gt; 0, TRUE, FALSE)</f>
        <v>0</v>
      </c>
      <c r="K40" t="str" cm="1">
        <f t="array" ref="K40">IF(HubSpot_property_check[[#This Row],[is in Ontologie?]]=TRUE,VLOOKUP(HubSpot_property_check[[#This Row],[helper]],[1]!ontologie[#All],COLUMN([1]!ontologie[[#All],[name in silver]]),FALSE),"")</f>
        <v/>
      </c>
      <c r="L40" s="2" t="str" cm="1">
        <f t="array" ref="L40">_xlfn.TEXTJOIN(CHAR(10), TRUE, _xlfn._xlws.FILTER([1]!ontologie[name in bronze], [1]!ontologie[hubspot_helper]=HubSpot_property_check[[#This Row],[helper]], ""))</f>
        <v/>
      </c>
      <c r="M40" s="2" t="str" cm="1">
        <f t="array" ref="M40">_xlfn.TEXTJOIN(CHAR(10), TRUE, _xlfn._xlws.FILTER([1]!ontologie[name in source], [1]!ontologie[hubspot_helper]=HubSpot_property_check[[#This Row],[helper]], ""))</f>
        <v/>
      </c>
    </row>
    <row r="41" spans="1:13" x14ac:dyDescent="0.25">
      <c r="A41" t="s">
        <v>131</v>
      </c>
      <c r="B41" t="s">
        <v>115</v>
      </c>
      <c r="C41" t="s">
        <v>132</v>
      </c>
      <c r="D41" t="s">
        <v>133</v>
      </c>
      <c r="E41" t="s">
        <v>23</v>
      </c>
      <c r="F41" t="b">
        <v>0</v>
      </c>
      <c r="G41" t="b">
        <v>0</v>
      </c>
      <c r="H41" t="s">
        <v>22</v>
      </c>
      <c r="I41" s="1">
        <v>0.2591</v>
      </c>
      <c r="J41" t="b">
        <f>IF(COUNTIF([1]!ontologie[[#All],[hubspot_helper]], A41) &gt; 0, TRUE, FALSE)</f>
        <v>0</v>
      </c>
      <c r="K41" t="str" cm="1">
        <f t="array" ref="K41">IF(HubSpot_property_check[[#This Row],[is in Ontologie?]]=TRUE,VLOOKUP(HubSpot_property_check[[#This Row],[helper]],[1]!ontologie[#All],COLUMN([1]!ontologie[[#All],[name in silver]]),FALSE),"")</f>
        <v/>
      </c>
      <c r="L41" s="2" t="str" cm="1">
        <f t="array" ref="L41">_xlfn.TEXTJOIN(CHAR(10), TRUE, _xlfn._xlws.FILTER([1]!ontologie[name in bronze], [1]!ontologie[hubspot_helper]=HubSpot_property_check[[#This Row],[helper]], ""))</f>
        <v/>
      </c>
      <c r="M41" s="2" t="str" cm="1">
        <f t="array" ref="M41">_xlfn.TEXTJOIN(CHAR(10), TRUE, _xlfn._xlws.FILTER([1]!ontologie[name in source], [1]!ontologie[hubspot_helper]=HubSpot_property_check[[#This Row],[helper]], ""))</f>
        <v/>
      </c>
    </row>
    <row r="42" spans="1:13" x14ac:dyDescent="0.25">
      <c r="A42" t="s">
        <v>134</v>
      </c>
      <c r="B42" t="s">
        <v>115</v>
      </c>
      <c r="C42" t="s">
        <v>135</v>
      </c>
      <c r="D42" t="s">
        <v>136</v>
      </c>
      <c r="E42" t="s">
        <v>17</v>
      </c>
      <c r="F42" t="b">
        <v>0</v>
      </c>
      <c r="G42" t="b">
        <v>0</v>
      </c>
      <c r="H42" t="s">
        <v>22</v>
      </c>
      <c r="I42" s="1">
        <v>0.32979999999999998</v>
      </c>
      <c r="J42" t="b">
        <f>IF(COUNTIF([1]!ontologie[[#All],[hubspot_helper]], A42) &gt; 0, TRUE, FALSE)</f>
        <v>0</v>
      </c>
      <c r="K42" t="str" cm="1">
        <f t="array" ref="K42">IF(HubSpot_property_check[[#This Row],[is in Ontologie?]]=TRUE,VLOOKUP(HubSpot_property_check[[#This Row],[helper]],[1]!ontologie[#All],COLUMN([1]!ontologie[[#All],[name in silver]]),FALSE),"")</f>
        <v/>
      </c>
      <c r="L42" s="2" t="str" cm="1">
        <f t="array" ref="L42">_xlfn.TEXTJOIN(CHAR(10), TRUE, _xlfn._xlws.FILTER([1]!ontologie[name in bronze], [1]!ontologie[hubspot_helper]=HubSpot_property_check[[#This Row],[helper]], ""))</f>
        <v/>
      </c>
      <c r="M42" s="2" t="str" cm="1">
        <f t="array" ref="M42">_xlfn.TEXTJOIN(CHAR(10), TRUE, _xlfn._xlws.FILTER([1]!ontologie[name in source], [1]!ontologie[hubspot_helper]=HubSpot_property_check[[#This Row],[helper]], ""))</f>
        <v/>
      </c>
    </row>
    <row r="43" spans="1:13" x14ac:dyDescent="0.25">
      <c r="A43" t="s">
        <v>137</v>
      </c>
      <c r="B43" t="s">
        <v>115</v>
      </c>
      <c r="C43" t="s">
        <v>138</v>
      </c>
      <c r="D43" t="s">
        <v>139</v>
      </c>
      <c r="E43" t="s">
        <v>17</v>
      </c>
      <c r="F43" t="b">
        <v>0</v>
      </c>
      <c r="G43" t="b">
        <v>0</v>
      </c>
      <c r="H43" t="s">
        <v>22</v>
      </c>
      <c r="I43" s="1">
        <v>0.31869999999999998</v>
      </c>
      <c r="J43" t="b">
        <f>IF(COUNTIF([1]!ontologie[[#All],[hubspot_helper]], A43) &gt; 0, TRUE, FALSE)</f>
        <v>0</v>
      </c>
      <c r="K43" t="str" cm="1">
        <f t="array" ref="K43">IF(HubSpot_property_check[[#This Row],[is in Ontologie?]]=TRUE,VLOOKUP(HubSpot_property_check[[#This Row],[helper]],[1]!ontologie[#All],COLUMN([1]!ontologie[[#All],[name in silver]]),FALSE),"")</f>
        <v/>
      </c>
      <c r="L43" s="2" t="str" cm="1">
        <f t="array" ref="L43">_xlfn.TEXTJOIN(CHAR(10), TRUE, _xlfn._xlws.FILTER([1]!ontologie[name in bronze], [1]!ontologie[hubspot_helper]=HubSpot_property_check[[#This Row],[helper]], ""))</f>
        <v/>
      </c>
      <c r="M43" s="2" t="str" cm="1">
        <f t="array" ref="M43">_xlfn.TEXTJOIN(CHAR(10), TRUE, _xlfn._xlws.FILTER([1]!ontologie[name in source], [1]!ontologie[hubspot_helper]=HubSpot_property_check[[#This Row],[helper]], ""))</f>
        <v/>
      </c>
    </row>
    <row r="44" spans="1:13" x14ac:dyDescent="0.25">
      <c r="A44" t="s">
        <v>140</v>
      </c>
      <c r="B44" t="s">
        <v>115</v>
      </c>
      <c r="C44" t="s">
        <v>141</v>
      </c>
      <c r="D44" t="s">
        <v>141</v>
      </c>
      <c r="E44" t="s">
        <v>59</v>
      </c>
      <c r="F44" t="b">
        <v>0</v>
      </c>
      <c r="G44" t="b">
        <v>0</v>
      </c>
      <c r="H44" t="s">
        <v>22</v>
      </c>
      <c r="I44" s="1">
        <v>0.22339999999999999</v>
      </c>
      <c r="J44" t="b">
        <f>IF(COUNTIF([1]!ontologie[[#All],[hubspot_helper]], A44) &gt; 0, TRUE, FALSE)</f>
        <v>0</v>
      </c>
      <c r="K44" t="str" cm="1">
        <f t="array" ref="K44">IF(HubSpot_property_check[[#This Row],[is in Ontologie?]]=TRUE,VLOOKUP(HubSpot_property_check[[#This Row],[helper]],[1]!ontologie[#All],COLUMN([1]!ontologie[[#All],[name in silver]]),FALSE),"")</f>
        <v/>
      </c>
      <c r="L44" s="2" t="str" cm="1">
        <f t="array" ref="L44">_xlfn.TEXTJOIN(CHAR(10), TRUE, _xlfn._xlws.FILTER([1]!ontologie[name in bronze], [1]!ontologie[hubspot_helper]=HubSpot_property_check[[#This Row],[helper]], ""))</f>
        <v/>
      </c>
      <c r="M44" s="2" t="str" cm="1">
        <f t="array" ref="M44">_xlfn.TEXTJOIN(CHAR(10), TRUE, _xlfn._xlws.FILTER([1]!ontologie[name in source], [1]!ontologie[hubspot_helper]=HubSpot_property_check[[#This Row],[helper]], ""))</f>
        <v/>
      </c>
    </row>
    <row r="45" spans="1:13" x14ac:dyDescent="0.25">
      <c r="A45" t="s">
        <v>142</v>
      </c>
      <c r="B45" t="s">
        <v>115</v>
      </c>
      <c r="C45" t="s">
        <v>143</v>
      </c>
      <c r="D45" t="s">
        <v>143</v>
      </c>
      <c r="E45" t="s">
        <v>17</v>
      </c>
      <c r="F45" t="b">
        <v>0</v>
      </c>
      <c r="G45" t="b">
        <v>0</v>
      </c>
      <c r="H45" t="s">
        <v>22</v>
      </c>
      <c r="I45" s="1">
        <v>0.2223</v>
      </c>
      <c r="J45" t="b">
        <f>IF(COUNTIF([1]!ontologie[[#All],[hubspot_helper]], A45) &gt; 0, TRUE, FALSE)</f>
        <v>0</v>
      </c>
      <c r="K45" t="str" cm="1">
        <f t="array" ref="K45">IF(HubSpot_property_check[[#This Row],[is in Ontologie?]]=TRUE,VLOOKUP(HubSpot_property_check[[#This Row],[helper]],[1]!ontologie[#All],COLUMN([1]!ontologie[[#All],[name in silver]]),FALSE),"")</f>
        <v/>
      </c>
      <c r="L45" s="2" t="str" cm="1">
        <f t="array" ref="L45">_xlfn.TEXTJOIN(CHAR(10), TRUE, _xlfn._xlws.FILTER([1]!ontologie[name in bronze], [1]!ontologie[hubspot_helper]=HubSpot_property_check[[#This Row],[helper]], ""))</f>
        <v/>
      </c>
      <c r="M45" s="2" t="str" cm="1">
        <f t="array" ref="M45">_xlfn.TEXTJOIN(CHAR(10), TRUE, _xlfn._xlws.FILTER([1]!ontologie[name in source], [1]!ontologie[hubspot_helper]=HubSpot_property_check[[#This Row],[helper]], ""))</f>
        <v/>
      </c>
    </row>
    <row r="46" spans="1:13" x14ac:dyDescent="0.25">
      <c r="A46" t="s">
        <v>144</v>
      </c>
      <c r="B46" t="s">
        <v>115</v>
      </c>
      <c r="C46" t="s">
        <v>145</v>
      </c>
      <c r="D46" t="s">
        <v>145</v>
      </c>
      <c r="E46" t="s">
        <v>23</v>
      </c>
      <c r="F46" t="b">
        <v>0</v>
      </c>
      <c r="G46" t="b">
        <v>0</v>
      </c>
      <c r="H46" t="s">
        <v>22</v>
      </c>
      <c r="I46" s="1">
        <v>0.38719999999999999</v>
      </c>
      <c r="J46" t="b">
        <f>IF(COUNTIF([1]!ontologie[[#All],[hubspot_helper]], A46) &gt; 0, TRUE, FALSE)</f>
        <v>0</v>
      </c>
      <c r="K46" t="str" cm="1">
        <f t="array" ref="K46">IF(HubSpot_property_check[[#This Row],[is in Ontologie?]]=TRUE,VLOOKUP(HubSpot_property_check[[#This Row],[helper]],[1]!ontologie[#All],COLUMN([1]!ontologie[[#All],[name in silver]]),FALSE),"")</f>
        <v/>
      </c>
      <c r="L46" s="2" t="str" cm="1">
        <f t="array" ref="L46">_xlfn.TEXTJOIN(CHAR(10), TRUE, _xlfn._xlws.FILTER([1]!ontologie[name in bronze], [1]!ontologie[hubspot_helper]=HubSpot_property_check[[#This Row],[helper]], ""))</f>
        <v/>
      </c>
      <c r="M46" s="2" t="str" cm="1">
        <f t="array" ref="M46">_xlfn.TEXTJOIN(CHAR(10), TRUE, _xlfn._xlws.FILTER([1]!ontologie[name in source], [1]!ontologie[hubspot_helper]=HubSpot_property_check[[#This Row],[helper]], ""))</f>
        <v/>
      </c>
    </row>
    <row r="47" spans="1:13" x14ac:dyDescent="0.25">
      <c r="A47" t="s">
        <v>146</v>
      </c>
      <c r="B47" t="s">
        <v>115</v>
      </c>
      <c r="C47" t="s">
        <v>147</v>
      </c>
      <c r="D47" t="s">
        <v>147</v>
      </c>
      <c r="E47" t="s">
        <v>17</v>
      </c>
      <c r="F47" t="b">
        <v>0</v>
      </c>
      <c r="G47" t="b">
        <v>0</v>
      </c>
      <c r="H47" t="s">
        <v>22</v>
      </c>
      <c r="I47" s="1">
        <v>5.6000000000000008E-3</v>
      </c>
      <c r="J47" t="b">
        <f>IF(COUNTIF([1]!ontologie[[#All],[hubspot_helper]], A47) &gt; 0, TRUE, FALSE)</f>
        <v>0</v>
      </c>
      <c r="K47" t="str" cm="1">
        <f t="array" ref="K47">IF(HubSpot_property_check[[#This Row],[is in Ontologie?]]=TRUE,VLOOKUP(HubSpot_property_check[[#This Row],[helper]],[1]!ontologie[#All],COLUMN([1]!ontologie[[#All],[name in silver]]),FALSE),"")</f>
        <v/>
      </c>
      <c r="L47" s="2" t="str" cm="1">
        <f t="array" ref="L47">_xlfn.TEXTJOIN(CHAR(10), TRUE, _xlfn._xlws.FILTER([1]!ontologie[name in bronze], [1]!ontologie[hubspot_helper]=HubSpot_property_check[[#This Row],[helper]], ""))</f>
        <v/>
      </c>
      <c r="M47" s="2" t="str" cm="1">
        <f t="array" ref="M47">_xlfn.TEXTJOIN(CHAR(10), TRUE, _xlfn._xlws.FILTER([1]!ontologie[name in source], [1]!ontologie[hubspot_helper]=HubSpot_property_check[[#This Row],[helper]], ""))</f>
        <v/>
      </c>
    </row>
    <row r="48" spans="1:13" x14ac:dyDescent="0.25">
      <c r="A48" t="s">
        <v>148</v>
      </c>
      <c r="B48" t="s">
        <v>115</v>
      </c>
      <c r="C48" t="s">
        <v>149</v>
      </c>
      <c r="D48" t="s">
        <v>150</v>
      </c>
      <c r="E48" t="s">
        <v>23</v>
      </c>
      <c r="F48" t="b">
        <v>0</v>
      </c>
      <c r="G48" t="b">
        <v>0</v>
      </c>
      <c r="H48" t="s">
        <v>22</v>
      </c>
      <c r="I48" s="1">
        <v>0.33539999999999998</v>
      </c>
      <c r="J48" t="b">
        <f>IF(COUNTIF([1]!ontologie[[#All],[hubspot_helper]], A48) &gt; 0, TRUE, FALSE)</f>
        <v>0</v>
      </c>
      <c r="K48" t="str" cm="1">
        <f t="array" ref="K48">IF(HubSpot_property_check[[#This Row],[is in Ontologie?]]=TRUE,VLOOKUP(HubSpot_property_check[[#This Row],[helper]],[1]!ontologie[#All],COLUMN([1]!ontologie[[#All],[name in silver]]),FALSE),"")</f>
        <v/>
      </c>
      <c r="L48" s="2" t="str" cm="1">
        <f t="array" ref="L48">_xlfn.TEXTJOIN(CHAR(10), TRUE, _xlfn._xlws.FILTER([1]!ontologie[name in bronze], [1]!ontologie[hubspot_helper]=HubSpot_property_check[[#This Row],[helper]], ""))</f>
        <v/>
      </c>
      <c r="M48" s="2" t="str" cm="1">
        <f t="array" ref="M48">_xlfn.TEXTJOIN(CHAR(10), TRUE, _xlfn._xlws.FILTER([1]!ontologie[name in source], [1]!ontologie[hubspot_helper]=HubSpot_property_check[[#This Row],[helper]], ""))</f>
        <v/>
      </c>
    </row>
    <row r="49" spans="1:13" x14ac:dyDescent="0.25">
      <c r="A49" t="s">
        <v>151</v>
      </c>
      <c r="B49" t="s">
        <v>115</v>
      </c>
      <c r="C49" t="s">
        <v>152</v>
      </c>
      <c r="D49" t="s">
        <v>153</v>
      </c>
      <c r="E49" t="s">
        <v>17</v>
      </c>
      <c r="F49" t="b">
        <v>0</v>
      </c>
      <c r="G49" t="b">
        <v>0</v>
      </c>
      <c r="H49" t="s">
        <v>22</v>
      </c>
      <c r="I49" s="1">
        <v>0.33539999999999998</v>
      </c>
      <c r="J49" t="b">
        <f>IF(COUNTIF([1]!ontologie[[#All],[hubspot_helper]], A49) &gt; 0, TRUE, FALSE)</f>
        <v>0</v>
      </c>
      <c r="K49" t="str" cm="1">
        <f t="array" ref="K49">IF(HubSpot_property_check[[#This Row],[is in Ontologie?]]=TRUE,VLOOKUP(HubSpot_property_check[[#This Row],[helper]],[1]!ontologie[#All],COLUMN([1]!ontologie[[#All],[name in silver]]),FALSE),"")</f>
        <v/>
      </c>
      <c r="L49" s="2" t="str" cm="1">
        <f t="array" ref="L49">_xlfn.TEXTJOIN(CHAR(10), TRUE, _xlfn._xlws.FILTER([1]!ontologie[name in bronze], [1]!ontologie[hubspot_helper]=HubSpot_property_check[[#This Row],[helper]], ""))</f>
        <v/>
      </c>
      <c r="M49" s="2" t="str" cm="1">
        <f t="array" ref="M49">_xlfn.TEXTJOIN(CHAR(10), TRUE, _xlfn._xlws.FILTER([1]!ontologie[name in source], [1]!ontologie[hubspot_helper]=HubSpot_property_check[[#This Row],[helper]], ""))</f>
        <v/>
      </c>
    </row>
    <row r="50" spans="1:13" x14ac:dyDescent="0.25">
      <c r="A50" t="s">
        <v>154</v>
      </c>
      <c r="B50" t="s">
        <v>115</v>
      </c>
      <c r="C50" t="s">
        <v>155</v>
      </c>
      <c r="D50" t="s">
        <v>155</v>
      </c>
      <c r="E50" t="s">
        <v>21</v>
      </c>
      <c r="F50" t="b">
        <v>0</v>
      </c>
      <c r="G50" t="b">
        <v>0</v>
      </c>
      <c r="H50" t="s">
        <v>22</v>
      </c>
      <c r="I50" s="1">
        <v>2.2799999999999997E-2</v>
      </c>
      <c r="J50" t="b">
        <f>IF(COUNTIF([1]!ontologie[[#All],[hubspot_helper]], A50) &gt; 0, TRUE, FALSE)</f>
        <v>0</v>
      </c>
      <c r="K50" t="str" cm="1">
        <f t="array" ref="K50">IF(HubSpot_property_check[[#This Row],[is in Ontologie?]]=TRUE,VLOOKUP(HubSpot_property_check[[#This Row],[helper]],[1]!ontologie[#All],COLUMN([1]!ontologie[[#All],[name in silver]]),FALSE),"")</f>
        <v/>
      </c>
      <c r="L50" s="2" t="str" cm="1">
        <f t="array" ref="L50">_xlfn.TEXTJOIN(CHAR(10), TRUE, _xlfn._xlws.FILTER([1]!ontologie[name in bronze], [1]!ontologie[hubspot_helper]=HubSpot_property_check[[#This Row],[helper]], ""))</f>
        <v/>
      </c>
      <c r="M50" s="2" t="str" cm="1">
        <f t="array" ref="M50">_xlfn.TEXTJOIN(CHAR(10), TRUE, _xlfn._xlws.FILTER([1]!ontologie[name in source], [1]!ontologie[hubspot_helper]=HubSpot_property_check[[#This Row],[helper]], ""))</f>
        <v/>
      </c>
    </row>
    <row r="51" spans="1:13" x14ac:dyDescent="0.25">
      <c r="A51" t="s">
        <v>156</v>
      </c>
      <c r="B51" t="s">
        <v>115</v>
      </c>
      <c r="C51" t="s">
        <v>157</v>
      </c>
      <c r="D51" t="s">
        <v>157</v>
      </c>
      <c r="E51" t="s">
        <v>21</v>
      </c>
      <c r="F51" t="b">
        <v>0</v>
      </c>
      <c r="G51" t="b">
        <v>0</v>
      </c>
      <c r="H51" t="s">
        <v>22</v>
      </c>
      <c r="I51" s="1">
        <v>2.23E-2</v>
      </c>
      <c r="J51" t="b">
        <f>IF(COUNTIF([1]!ontologie[[#All],[hubspot_helper]], A51) &gt; 0, TRUE, FALSE)</f>
        <v>0</v>
      </c>
      <c r="K51" t="str" cm="1">
        <f t="array" ref="K51">IF(HubSpot_property_check[[#This Row],[is in Ontologie?]]=TRUE,VLOOKUP(HubSpot_property_check[[#This Row],[helper]],[1]!ontologie[#All],COLUMN([1]!ontologie[[#All],[name in silver]]),FALSE),"")</f>
        <v/>
      </c>
      <c r="L51" s="2" t="str" cm="1">
        <f t="array" ref="L51">_xlfn.TEXTJOIN(CHAR(10), TRUE, _xlfn._xlws.FILTER([1]!ontologie[name in bronze], [1]!ontologie[hubspot_helper]=HubSpot_property_check[[#This Row],[helper]], ""))</f>
        <v/>
      </c>
      <c r="M51" s="2" t="str" cm="1">
        <f t="array" ref="M51">_xlfn.TEXTJOIN(CHAR(10), TRUE, _xlfn._xlws.FILTER([1]!ontologie[name in source], [1]!ontologie[hubspot_helper]=HubSpot_property_check[[#This Row],[helper]], ""))</f>
        <v/>
      </c>
    </row>
    <row r="52" spans="1:13" x14ac:dyDescent="0.25">
      <c r="A52" t="s">
        <v>158</v>
      </c>
      <c r="B52" t="s">
        <v>115</v>
      </c>
      <c r="C52" t="s">
        <v>159</v>
      </c>
      <c r="D52" t="s">
        <v>160</v>
      </c>
      <c r="E52" t="s">
        <v>17</v>
      </c>
      <c r="F52" t="b">
        <v>0</v>
      </c>
      <c r="G52" t="b">
        <v>0</v>
      </c>
      <c r="H52" t="s">
        <v>22</v>
      </c>
      <c r="I52" s="1">
        <v>0.32919999999999999</v>
      </c>
      <c r="J52" t="b">
        <f>IF(COUNTIF([1]!ontologie[[#All],[hubspot_helper]], A52) &gt; 0, TRUE, FALSE)</f>
        <v>0</v>
      </c>
      <c r="K52" t="str" cm="1">
        <f t="array" ref="K52">IF(HubSpot_property_check[[#This Row],[is in Ontologie?]]=TRUE,VLOOKUP(HubSpot_property_check[[#This Row],[helper]],[1]!ontologie[#All],COLUMN([1]!ontologie[[#All],[name in silver]]),FALSE),"")</f>
        <v/>
      </c>
      <c r="L52" s="2" t="str" cm="1">
        <f t="array" ref="L52">_xlfn.TEXTJOIN(CHAR(10), TRUE, _xlfn._xlws.FILTER([1]!ontologie[name in bronze], [1]!ontologie[hubspot_helper]=HubSpot_property_check[[#This Row],[helper]], ""))</f>
        <v/>
      </c>
      <c r="M52" s="2" t="str" cm="1">
        <f t="array" ref="M52">_xlfn.TEXTJOIN(CHAR(10), TRUE, _xlfn._xlws.FILTER([1]!ontologie[name in source], [1]!ontologie[hubspot_helper]=HubSpot_property_check[[#This Row],[helper]], ""))</f>
        <v/>
      </c>
    </row>
    <row r="53" spans="1:13" x14ac:dyDescent="0.25">
      <c r="A53" t="s">
        <v>161</v>
      </c>
      <c r="B53" t="s">
        <v>115</v>
      </c>
      <c r="C53" t="s">
        <v>162</v>
      </c>
      <c r="D53" t="s">
        <v>163</v>
      </c>
      <c r="E53" t="s">
        <v>17</v>
      </c>
      <c r="F53" t="b">
        <v>0</v>
      </c>
      <c r="G53" t="b">
        <v>0</v>
      </c>
      <c r="H53" t="s">
        <v>22</v>
      </c>
      <c r="I53" s="1">
        <v>5.6000000000000008E-3</v>
      </c>
      <c r="J53" t="b">
        <f>IF(COUNTIF([1]!ontologie[[#All],[hubspot_helper]], A53) &gt; 0, TRUE, FALSE)</f>
        <v>0</v>
      </c>
      <c r="K53" t="str" cm="1">
        <f t="array" ref="K53">IF(HubSpot_property_check[[#This Row],[is in Ontologie?]]=TRUE,VLOOKUP(HubSpot_property_check[[#This Row],[helper]],[1]!ontologie[#All],COLUMN([1]!ontologie[[#All],[name in silver]]),FALSE),"")</f>
        <v/>
      </c>
      <c r="L53" s="2" t="str" cm="1">
        <f t="array" ref="L53">_xlfn.TEXTJOIN(CHAR(10), TRUE, _xlfn._xlws.FILTER([1]!ontologie[name in bronze], [1]!ontologie[hubspot_helper]=HubSpot_property_check[[#This Row],[helper]], ""))</f>
        <v/>
      </c>
      <c r="M53" s="2" t="str" cm="1">
        <f t="array" ref="M53">_xlfn.TEXTJOIN(CHAR(10), TRUE, _xlfn._xlws.FILTER([1]!ontologie[name in source], [1]!ontologie[hubspot_helper]=HubSpot_property_check[[#This Row],[helper]], ""))</f>
        <v/>
      </c>
    </row>
    <row r="54" spans="1:13" x14ac:dyDescent="0.25">
      <c r="A54" t="s">
        <v>164</v>
      </c>
      <c r="B54" t="s">
        <v>115</v>
      </c>
      <c r="C54" t="s">
        <v>165</v>
      </c>
      <c r="D54" t="s">
        <v>165</v>
      </c>
      <c r="E54" t="s">
        <v>17</v>
      </c>
      <c r="F54" t="b">
        <v>0</v>
      </c>
      <c r="G54" t="b">
        <v>0</v>
      </c>
      <c r="H54" t="s">
        <v>22</v>
      </c>
      <c r="I54" s="1">
        <v>2.23E-2</v>
      </c>
      <c r="J54" t="b">
        <f>IF(COUNTIF([1]!ontologie[[#All],[hubspot_helper]], A54) &gt; 0, TRUE, FALSE)</f>
        <v>0</v>
      </c>
      <c r="K54" t="str" cm="1">
        <f t="array" ref="K54">IF(HubSpot_property_check[[#This Row],[is in Ontologie?]]=TRUE,VLOOKUP(HubSpot_property_check[[#This Row],[helper]],[1]!ontologie[#All],COLUMN([1]!ontologie[[#All],[name in silver]]),FALSE),"")</f>
        <v/>
      </c>
      <c r="L54" s="2" t="str" cm="1">
        <f t="array" ref="L54">_xlfn.TEXTJOIN(CHAR(10), TRUE, _xlfn._xlws.FILTER([1]!ontologie[name in bronze], [1]!ontologie[hubspot_helper]=HubSpot_property_check[[#This Row],[helper]], ""))</f>
        <v/>
      </c>
      <c r="M54" s="2" t="str" cm="1">
        <f t="array" ref="M54">_xlfn.TEXTJOIN(CHAR(10), TRUE, _xlfn._xlws.FILTER([1]!ontologie[name in source], [1]!ontologie[hubspot_helper]=HubSpot_property_check[[#This Row],[helper]], ""))</f>
        <v/>
      </c>
    </row>
  </sheetData>
  <conditionalFormatting sqref="A2:M54">
    <cfRule type="expression" dxfId="1" priority="1">
      <formula>$J2=FALSE</formula>
    </cfRule>
    <cfRule type="expression" dxfId="0" priority="2">
      <formula>$J2=TRUE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0C875-8499-4C12-AAC8-B10CFD57FA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HubSpot_property_check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2026-05-12T18:27:54Z</dcterms:created>
  <dcterms:modified xsi:type="dcterms:W3CDTF">2026-05-12T18:33:40Z</dcterms:modified>
</cp:coreProperties>
</file>